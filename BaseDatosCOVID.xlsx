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FCE6B5E-B994-4FA7-BC02-E1282B41A8AF}" xr6:coauthVersionLast="47" xr6:coauthVersionMax="47" xr10:uidLastSave="{00000000-0000-0000-0000-000000000000}"/>
  <bookViews>
    <workbookView xWindow="-120" yWindow="-120" windowWidth="20730" windowHeight="11040"/>
  </bookViews>
  <sheets>
    <sheet name="BaseDatosCOVID.xlsx" sheetId="1" r:id="rId1"/>
  </sheets>
  <definedNames>
    <definedName name="_xlchart.v1.0" hidden="1">BaseDatosCOVID.xlsx!$H$1</definedName>
    <definedName name="_xlchart.v1.1" hidden="1">BaseDatosCOVID.xlsx!$H$2:$H$151</definedName>
    <definedName name="_xlchart.v1.2" hidden="1">BaseDatosCOVID.xlsx!$G$1</definedName>
    <definedName name="_xlchart.v1.3" hidden="1">BaseDatosCOVID.xlsx!$G$2:$G$151</definedName>
    <definedName name="_xlchart.v1.4" hidden="1">BaseDatosCOVID.xlsx!$H$1</definedName>
    <definedName name="_xlchart.v1.5" hidden="1">BaseDatosCOVID.xlsx!$H$2:$H$151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1" i="1" l="1"/>
  <c r="M50" i="1"/>
  <c r="M54" i="1"/>
</calcChain>
</file>

<file path=xl/sharedStrings.xml><?xml version="1.0" encoding="utf-8"?>
<sst xmlns="http://schemas.openxmlformats.org/spreadsheetml/2006/main" count="343" uniqueCount="203">
  <si>
    <t>date</t>
  </si>
  <si>
    <t>county</t>
  </si>
  <si>
    <t>state</t>
  </si>
  <si>
    <t>fips</t>
  </si>
  <si>
    <t>cases</t>
  </si>
  <si>
    <t>deaths</t>
  </si>
  <si>
    <t>daily_cases</t>
  </si>
  <si>
    <t>daily_deaths</t>
  </si>
  <si>
    <t>day_of_week</t>
  </si>
  <si>
    <t>is_weekend</t>
  </si>
  <si>
    <t>burke</t>
  </si>
  <si>
    <t>north carolina</t>
  </si>
  <si>
    <t>bolivar</t>
  </si>
  <si>
    <t>mississippi</t>
  </si>
  <si>
    <t>benton</t>
  </si>
  <si>
    <t>tennessee</t>
  </si>
  <si>
    <t>waupaca</t>
  </si>
  <si>
    <t>wisconsin</t>
  </si>
  <si>
    <t>rockdale</t>
  </si>
  <si>
    <t>georgia</t>
  </si>
  <si>
    <t>kittitas</t>
  </si>
  <si>
    <t>washington</t>
  </si>
  <si>
    <t>elmore</t>
  </si>
  <si>
    <t>idaho</t>
  </si>
  <si>
    <t>sumner</t>
  </si>
  <si>
    <t>kansas</t>
  </si>
  <si>
    <t>pine</t>
  </si>
  <si>
    <t>minnesota</t>
  </si>
  <si>
    <t>hawkins</t>
  </si>
  <si>
    <t>russell</t>
  </si>
  <si>
    <t>virginia</t>
  </si>
  <si>
    <t>hidalgo</t>
  </si>
  <si>
    <t>new mexico</t>
  </si>
  <si>
    <t>hamilton</t>
  </si>
  <si>
    <t>rock</t>
  </si>
  <si>
    <t>baltimore</t>
  </si>
  <si>
    <t>maryland</t>
  </si>
  <si>
    <t>peach</t>
  </si>
  <si>
    <t>eastland</t>
  </si>
  <si>
    <t>texas</t>
  </si>
  <si>
    <t>taylor</t>
  </si>
  <si>
    <t>polk</t>
  </si>
  <si>
    <t>oregon</t>
  </si>
  <si>
    <t>missouri</t>
  </si>
  <si>
    <t>montgomery</t>
  </si>
  <si>
    <t>arkansas</t>
  </si>
  <si>
    <t>carroll</t>
  </si>
  <si>
    <t>chattooga</t>
  </si>
  <si>
    <t>yadkin</t>
  </si>
  <si>
    <t>lee</t>
  </si>
  <si>
    <t>burleigh</t>
  </si>
  <si>
    <t>north dakota</t>
  </si>
  <si>
    <t>richland</t>
  </si>
  <si>
    <t>la salle</t>
  </si>
  <si>
    <t>meade</t>
  </si>
  <si>
    <t>kentucky</t>
  </si>
  <si>
    <t>harlan</t>
  </si>
  <si>
    <t>ransom</t>
  </si>
  <si>
    <t>grayson</t>
  </si>
  <si>
    <t>garfield</t>
  </si>
  <si>
    <t>oklahoma</t>
  </si>
  <si>
    <t>anoka</t>
  </si>
  <si>
    <t>bates</t>
  </si>
  <si>
    <t>marlboro</t>
  </si>
  <si>
    <t>south carolina</t>
  </si>
  <si>
    <t>clinton</t>
  </si>
  <si>
    <t>pickens</t>
  </si>
  <si>
    <t>mahaska</t>
  </si>
  <si>
    <t>iowa</t>
  </si>
  <si>
    <t>citrus</t>
  </si>
  <si>
    <t>florida</t>
  </si>
  <si>
    <t>gloucester</t>
  </si>
  <si>
    <t>wright</t>
  </si>
  <si>
    <t>park</t>
  </si>
  <si>
    <t>montana</t>
  </si>
  <si>
    <t>franklin</t>
  </si>
  <si>
    <t>monroe</t>
  </si>
  <si>
    <t>michigan</t>
  </si>
  <si>
    <t>coconino</t>
  </si>
  <si>
    <t>arizona</t>
  </si>
  <si>
    <t>crawford</t>
  </si>
  <si>
    <t>roberts</t>
  </si>
  <si>
    <t>south dakota</t>
  </si>
  <si>
    <t>racine</t>
  </si>
  <si>
    <t>archer</t>
  </si>
  <si>
    <t>thurston</t>
  </si>
  <si>
    <t>greenwood</t>
  </si>
  <si>
    <t>hopewell</t>
  </si>
  <si>
    <t>hancock</t>
  </si>
  <si>
    <t>west virginia</t>
  </si>
  <si>
    <t>erath</t>
  </si>
  <si>
    <t>greenlee</t>
  </si>
  <si>
    <t>prentiss</t>
  </si>
  <si>
    <t>laclede</t>
  </si>
  <si>
    <t>carter</t>
  </si>
  <si>
    <t>rock island</t>
  </si>
  <si>
    <t>illinois</t>
  </si>
  <si>
    <t>williamsburg</t>
  </si>
  <si>
    <t>grand isle</t>
  </si>
  <si>
    <t>vermont</t>
  </si>
  <si>
    <t>nassau</t>
  </si>
  <si>
    <t>sedgwick</t>
  </si>
  <si>
    <t>st. lawrence</t>
  </si>
  <si>
    <t>new york</t>
  </si>
  <si>
    <t>blount</t>
  </si>
  <si>
    <t>alabama</t>
  </si>
  <si>
    <t>ashland</t>
  </si>
  <si>
    <t>ohio</t>
  </si>
  <si>
    <t>union</t>
  </si>
  <si>
    <t>miami</t>
  </si>
  <si>
    <t>indiana</t>
  </si>
  <si>
    <t>brazos</t>
  </si>
  <si>
    <t>sauk</t>
  </si>
  <si>
    <t>jefferson</t>
  </si>
  <si>
    <t>logan</t>
  </si>
  <si>
    <t>roosevelt</t>
  </si>
  <si>
    <t>schuylkill</t>
  </si>
  <si>
    <t>pennsylvania</t>
  </si>
  <si>
    <t>fluvanna</t>
  </si>
  <si>
    <t>elbert</t>
  </si>
  <si>
    <t>colorado</t>
  </si>
  <si>
    <t>greene</t>
  </si>
  <si>
    <t>dade</t>
  </si>
  <si>
    <t>lincoln</t>
  </si>
  <si>
    <t>valley</t>
  </si>
  <si>
    <t>daviess</t>
  </si>
  <si>
    <t>rogers</t>
  </si>
  <si>
    <t>new kent</t>
  </si>
  <si>
    <t>christian</t>
  </si>
  <si>
    <t>oldham</t>
  </si>
  <si>
    <t>adair</t>
  </si>
  <si>
    <t>fairfield</t>
  </si>
  <si>
    <t>connecticut</t>
  </si>
  <si>
    <t>norman</t>
  </si>
  <si>
    <t>overton</t>
  </si>
  <si>
    <t>sussex</t>
  </si>
  <si>
    <t>buchanan</t>
  </si>
  <si>
    <t>san luis obispo</t>
  </si>
  <si>
    <t>california</t>
  </si>
  <si>
    <t>platte</t>
  </si>
  <si>
    <t>nebraska</t>
  </si>
  <si>
    <t>marshall</t>
  </si>
  <si>
    <t>okaloosa</t>
  </si>
  <si>
    <t>olmsted</t>
  </si>
  <si>
    <t>somervell</t>
  </si>
  <si>
    <t>fort bend</t>
  </si>
  <si>
    <t>salem</t>
  </si>
  <si>
    <t>new jersey</t>
  </si>
  <si>
    <t>craven</t>
  </si>
  <si>
    <t>nez perce</t>
  </si>
  <si>
    <t>lanier</t>
  </si>
  <si>
    <t>buena vista</t>
  </si>
  <si>
    <t>waynesboro</t>
  </si>
  <si>
    <t>lyon</t>
  </si>
  <si>
    <t>barnstable</t>
  </si>
  <si>
    <t>massachusetts</t>
  </si>
  <si>
    <t>macomb</t>
  </si>
  <si>
    <t>ramsey</t>
  </si>
  <si>
    <t>cattaraugus</t>
  </si>
  <si>
    <t>bristol</t>
  </si>
  <si>
    <t>white pine</t>
  </si>
  <si>
    <t>nevada</t>
  </si>
  <si>
    <t>louisiana</t>
  </si>
  <si>
    <t>lasalle</t>
  </si>
  <si>
    <t>addison</t>
  </si>
  <si>
    <t>armstrong</t>
  </si>
  <si>
    <t>otsego</t>
  </si>
  <si>
    <t>cuming</t>
  </si>
  <si>
    <t>granville</t>
  </si>
  <si>
    <t>rhode island</t>
  </si>
  <si>
    <t>broward</t>
  </si>
  <si>
    <t>morgan</t>
  </si>
  <si>
    <t>shelby</t>
  </si>
  <si>
    <t>davis</t>
  </si>
  <si>
    <t>liberty</t>
  </si>
  <si>
    <t>ottawa</t>
  </si>
  <si>
    <t>san bernardino</t>
  </si>
  <si>
    <t>tolland</t>
  </si>
  <si>
    <t>spalding</t>
  </si>
  <si>
    <t>columbia</t>
  </si>
  <si>
    <t>grenada</t>
  </si>
  <si>
    <t>barren</t>
  </si>
  <si>
    <t>lampasas</t>
  </si>
  <si>
    <t>geauga</t>
  </si>
  <si>
    <t>Promedio daily_cases</t>
  </si>
  <si>
    <t>0 (Semana)</t>
  </si>
  <si>
    <t>1 (Fin de semana)</t>
  </si>
  <si>
    <t>Promedio casos diarios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</si>
  <si>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</si>
  <si>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</si>
  <si>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</si>
  <si>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</si>
  <si>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</si>
  <si>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</si>
  <si>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</si>
  <si>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</si>
  <si>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</si>
  <si>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</si>
  <si>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</si>
  <si>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</si>
  <si>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</si>
  <si>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Casos diarios</t>
  </si>
  <si>
    <t>Muertes 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</si>
</sst>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/>
    </xf>
    <xf numFmtId="0" fontId="0" fillId="0" borderId="10" xfId="0" applyFill="1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Casos diarios a lo largo del tiempo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BaseDatosCOVID.xlsx!$G$1</c:f>
              <c:strCache>
                <c:ptCount val="1"/>
                <c:pt idx="0">
                  <c:v>daily_cases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BaseDatosCOVID.xlsx!$A$2:$A$151</c:f>
              <c:numCache>
                <c:formatCode>m/d/yyyy</c:formatCode>
                <c:ptCount val="150"/>
                <c:pt idx="0">
                  <c:v>44469</c:v>
                </c:pt>
                <c:pt idx="1">
                  <c:v>44533</c:v>
                </c:pt>
                <c:pt idx="2">
                  <c:v>44344</c:v>
                </c:pt>
                <c:pt idx="3">
                  <c:v>44418</c:v>
                </c:pt>
                <c:pt idx="4">
                  <c:v>44441</c:v>
                </c:pt>
                <c:pt idx="5">
                  <c:v>44215</c:v>
                </c:pt>
                <c:pt idx="6">
                  <c:v>44281</c:v>
                </c:pt>
                <c:pt idx="7">
                  <c:v>44319</c:v>
                </c:pt>
                <c:pt idx="8">
                  <c:v>44314</c:v>
                </c:pt>
                <c:pt idx="9">
                  <c:v>44481</c:v>
                </c:pt>
                <c:pt idx="10">
                  <c:v>44351</c:v>
                </c:pt>
                <c:pt idx="11">
                  <c:v>44355</c:v>
                </c:pt>
                <c:pt idx="12">
                  <c:v>44325</c:v>
                </c:pt>
                <c:pt idx="13">
                  <c:v>44552</c:v>
                </c:pt>
                <c:pt idx="14">
                  <c:v>44449</c:v>
                </c:pt>
                <c:pt idx="15">
                  <c:v>44375</c:v>
                </c:pt>
                <c:pt idx="16">
                  <c:v>44526</c:v>
                </c:pt>
                <c:pt idx="17">
                  <c:v>44208</c:v>
                </c:pt>
                <c:pt idx="18">
                  <c:v>44243</c:v>
                </c:pt>
                <c:pt idx="19">
                  <c:v>44378</c:v>
                </c:pt>
                <c:pt idx="20">
                  <c:v>44474</c:v>
                </c:pt>
                <c:pt idx="21">
                  <c:v>44510</c:v>
                </c:pt>
                <c:pt idx="22">
                  <c:v>44557</c:v>
                </c:pt>
                <c:pt idx="23">
                  <c:v>44550</c:v>
                </c:pt>
                <c:pt idx="24">
                  <c:v>44349</c:v>
                </c:pt>
                <c:pt idx="25">
                  <c:v>44345</c:v>
                </c:pt>
                <c:pt idx="26">
                  <c:v>44337</c:v>
                </c:pt>
                <c:pt idx="27">
                  <c:v>44256</c:v>
                </c:pt>
                <c:pt idx="28">
                  <c:v>44335</c:v>
                </c:pt>
                <c:pt idx="29">
                  <c:v>44545</c:v>
                </c:pt>
                <c:pt idx="30">
                  <c:v>44456</c:v>
                </c:pt>
                <c:pt idx="31">
                  <c:v>44526</c:v>
                </c:pt>
                <c:pt idx="32">
                  <c:v>44279</c:v>
                </c:pt>
                <c:pt idx="33">
                  <c:v>44491</c:v>
                </c:pt>
                <c:pt idx="34">
                  <c:v>44554</c:v>
                </c:pt>
                <c:pt idx="35">
                  <c:v>44268</c:v>
                </c:pt>
                <c:pt idx="36">
                  <c:v>44499</c:v>
                </c:pt>
                <c:pt idx="37">
                  <c:v>44246</c:v>
                </c:pt>
                <c:pt idx="38">
                  <c:v>44422</c:v>
                </c:pt>
                <c:pt idx="39">
                  <c:v>44368</c:v>
                </c:pt>
                <c:pt idx="40">
                  <c:v>44417</c:v>
                </c:pt>
                <c:pt idx="41">
                  <c:v>44269</c:v>
                </c:pt>
                <c:pt idx="42">
                  <c:v>44485</c:v>
                </c:pt>
                <c:pt idx="43">
                  <c:v>44384</c:v>
                </c:pt>
                <c:pt idx="44">
                  <c:v>44224</c:v>
                </c:pt>
                <c:pt idx="45">
                  <c:v>44225</c:v>
                </c:pt>
                <c:pt idx="46">
                  <c:v>44446</c:v>
                </c:pt>
                <c:pt idx="47">
                  <c:v>44417</c:v>
                </c:pt>
                <c:pt idx="48">
                  <c:v>44259</c:v>
                </c:pt>
                <c:pt idx="49">
                  <c:v>44440</c:v>
                </c:pt>
                <c:pt idx="50">
                  <c:v>44373</c:v>
                </c:pt>
                <c:pt idx="51">
                  <c:v>44308</c:v>
                </c:pt>
                <c:pt idx="52">
                  <c:v>44352</c:v>
                </c:pt>
                <c:pt idx="53">
                  <c:v>44405</c:v>
                </c:pt>
                <c:pt idx="54">
                  <c:v>44320</c:v>
                </c:pt>
                <c:pt idx="55">
                  <c:v>44346</c:v>
                </c:pt>
                <c:pt idx="56">
                  <c:v>44417</c:v>
                </c:pt>
                <c:pt idx="57">
                  <c:v>44295</c:v>
                </c:pt>
                <c:pt idx="58">
                  <c:v>44408</c:v>
                </c:pt>
                <c:pt idx="59">
                  <c:v>44246</c:v>
                </c:pt>
                <c:pt idx="60">
                  <c:v>44450</c:v>
                </c:pt>
                <c:pt idx="61">
                  <c:v>44489</c:v>
                </c:pt>
                <c:pt idx="62">
                  <c:v>44250</c:v>
                </c:pt>
                <c:pt idx="63">
                  <c:v>44210</c:v>
                </c:pt>
                <c:pt idx="64">
                  <c:v>44343</c:v>
                </c:pt>
                <c:pt idx="65">
                  <c:v>44475</c:v>
                </c:pt>
                <c:pt idx="66">
                  <c:v>44213</c:v>
                </c:pt>
                <c:pt idx="67">
                  <c:v>44315</c:v>
                </c:pt>
                <c:pt idx="68">
                  <c:v>44514</c:v>
                </c:pt>
                <c:pt idx="69">
                  <c:v>44454</c:v>
                </c:pt>
                <c:pt idx="70">
                  <c:v>44241</c:v>
                </c:pt>
                <c:pt idx="71">
                  <c:v>44425</c:v>
                </c:pt>
                <c:pt idx="72">
                  <c:v>44545</c:v>
                </c:pt>
                <c:pt idx="73">
                  <c:v>44300</c:v>
                </c:pt>
                <c:pt idx="74">
                  <c:v>44476</c:v>
                </c:pt>
                <c:pt idx="75">
                  <c:v>44482</c:v>
                </c:pt>
                <c:pt idx="76">
                  <c:v>44372</c:v>
                </c:pt>
                <c:pt idx="77">
                  <c:v>44362</c:v>
                </c:pt>
                <c:pt idx="78">
                  <c:v>44355</c:v>
                </c:pt>
                <c:pt idx="79">
                  <c:v>44436</c:v>
                </c:pt>
                <c:pt idx="80">
                  <c:v>44523</c:v>
                </c:pt>
                <c:pt idx="81">
                  <c:v>44276</c:v>
                </c:pt>
                <c:pt idx="82">
                  <c:v>44557</c:v>
                </c:pt>
                <c:pt idx="83">
                  <c:v>44478</c:v>
                </c:pt>
                <c:pt idx="84">
                  <c:v>44224</c:v>
                </c:pt>
                <c:pt idx="85">
                  <c:v>44451</c:v>
                </c:pt>
                <c:pt idx="86">
                  <c:v>44475</c:v>
                </c:pt>
                <c:pt idx="87">
                  <c:v>44361</c:v>
                </c:pt>
                <c:pt idx="88">
                  <c:v>44439</c:v>
                </c:pt>
                <c:pt idx="89">
                  <c:v>44397</c:v>
                </c:pt>
                <c:pt idx="90">
                  <c:v>44395</c:v>
                </c:pt>
                <c:pt idx="91">
                  <c:v>44464</c:v>
                </c:pt>
                <c:pt idx="92">
                  <c:v>44319</c:v>
                </c:pt>
                <c:pt idx="93">
                  <c:v>44472</c:v>
                </c:pt>
                <c:pt idx="94">
                  <c:v>44477</c:v>
                </c:pt>
                <c:pt idx="95">
                  <c:v>44540</c:v>
                </c:pt>
                <c:pt idx="96">
                  <c:v>44371</c:v>
                </c:pt>
                <c:pt idx="97">
                  <c:v>44212</c:v>
                </c:pt>
                <c:pt idx="98">
                  <c:v>44338</c:v>
                </c:pt>
                <c:pt idx="99">
                  <c:v>44290</c:v>
                </c:pt>
                <c:pt idx="100">
                  <c:v>44329</c:v>
                </c:pt>
                <c:pt idx="101">
                  <c:v>44440</c:v>
                </c:pt>
                <c:pt idx="102">
                  <c:v>44373</c:v>
                </c:pt>
                <c:pt idx="103">
                  <c:v>44365</c:v>
                </c:pt>
                <c:pt idx="104">
                  <c:v>44287</c:v>
                </c:pt>
                <c:pt idx="105">
                  <c:v>44432</c:v>
                </c:pt>
                <c:pt idx="106">
                  <c:v>44547</c:v>
                </c:pt>
                <c:pt idx="107">
                  <c:v>44385</c:v>
                </c:pt>
                <c:pt idx="108">
                  <c:v>44253</c:v>
                </c:pt>
                <c:pt idx="109">
                  <c:v>44346</c:v>
                </c:pt>
                <c:pt idx="110">
                  <c:v>44473</c:v>
                </c:pt>
                <c:pt idx="111">
                  <c:v>44450</c:v>
                </c:pt>
                <c:pt idx="112">
                  <c:v>44265</c:v>
                </c:pt>
                <c:pt idx="113">
                  <c:v>44416</c:v>
                </c:pt>
                <c:pt idx="114">
                  <c:v>44466</c:v>
                </c:pt>
                <c:pt idx="115">
                  <c:v>44462</c:v>
                </c:pt>
                <c:pt idx="116">
                  <c:v>44402</c:v>
                </c:pt>
                <c:pt idx="117">
                  <c:v>44418</c:v>
                </c:pt>
                <c:pt idx="118">
                  <c:v>44426</c:v>
                </c:pt>
                <c:pt idx="119">
                  <c:v>44472</c:v>
                </c:pt>
                <c:pt idx="120">
                  <c:v>44361</c:v>
                </c:pt>
                <c:pt idx="121">
                  <c:v>44405</c:v>
                </c:pt>
                <c:pt idx="122">
                  <c:v>44237</c:v>
                </c:pt>
                <c:pt idx="123">
                  <c:v>44512</c:v>
                </c:pt>
                <c:pt idx="124">
                  <c:v>44513</c:v>
                </c:pt>
                <c:pt idx="125">
                  <c:v>44371</c:v>
                </c:pt>
                <c:pt idx="126">
                  <c:v>44473</c:v>
                </c:pt>
                <c:pt idx="127">
                  <c:v>44254</c:v>
                </c:pt>
                <c:pt idx="128">
                  <c:v>44424</c:v>
                </c:pt>
                <c:pt idx="129">
                  <c:v>44422</c:v>
                </c:pt>
                <c:pt idx="130">
                  <c:v>44292</c:v>
                </c:pt>
                <c:pt idx="131">
                  <c:v>44369</c:v>
                </c:pt>
                <c:pt idx="132">
                  <c:v>44328</c:v>
                </c:pt>
                <c:pt idx="133">
                  <c:v>44303</c:v>
                </c:pt>
                <c:pt idx="134">
                  <c:v>44501</c:v>
                </c:pt>
                <c:pt idx="135">
                  <c:v>44287</c:v>
                </c:pt>
                <c:pt idx="136">
                  <c:v>44433</c:v>
                </c:pt>
                <c:pt idx="137">
                  <c:v>44459</c:v>
                </c:pt>
                <c:pt idx="138">
                  <c:v>44245</c:v>
                </c:pt>
                <c:pt idx="139">
                  <c:v>44428</c:v>
                </c:pt>
                <c:pt idx="140">
                  <c:v>44561</c:v>
                </c:pt>
                <c:pt idx="141">
                  <c:v>44540</c:v>
                </c:pt>
                <c:pt idx="142">
                  <c:v>44555</c:v>
                </c:pt>
                <c:pt idx="143">
                  <c:v>44531</c:v>
                </c:pt>
                <c:pt idx="144">
                  <c:v>44289</c:v>
                </c:pt>
                <c:pt idx="145">
                  <c:v>44472</c:v>
                </c:pt>
                <c:pt idx="146">
                  <c:v>44533</c:v>
                </c:pt>
                <c:pt idx="147">
                  <c:v>44455</c:v>
                </c:pt>
                <c:pt idx="148">
                  <c:v>44401</c:v>
                </c:pt>
                <c:pt idx="149">
                  <c:v>44544</c:v>
                </c:pt>
              </c:numCache>
            </c:numRef>
          </c:cat>
          <c:val>
            <c:numRef>
              <c:f>BaseDatosCOVID.xlsx!$G$2:$G$151</c:f>
              <c:numCache>
                <c:formatCode>General</c:formatCode>
                <c:ptCount val="150"/>
                <c:pt idx="0">
                  <c:v>81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35</c:v>
                </c:pt>
                <c:pt idx="5">
                  <c:v>23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37</c:v>
                </c:pt>
                <c:pt idx="13">
                  <c:v>4</c:v>
                </c:pt>
                <c:pt idx="14">
                  <c:v>155</c:v>
                </c:pt>
                <c:pt idx="15">
                  <c:v>1</c:v>
                </c:pt>
                <c:pt idx="16">
                  <c:v>0</c:v>
                </c:pt>
                <c:pt idx="17">
                  <c:v>7</c:v>
                </c:pt>
                <c:pt idx="18">
                  <c:v>14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19</c:v>
                </c:pt>
                <c:pt idx="24">
                  <c:v>2</c:v>
                </c:pt>
                <c:pt idx="25">
                  <c:v>0</c:v>
                </c:pt>
                <c:pt idx="26">
                  <c:v>8</c:v>
                </c:pt>
                <c:pt idx="27">
                  <c:v>1</c:v>
                </c:pt>
                <c:pt idx="28">
                  <c:v>1</c:v>
                </c:pt>
                <c:pt idx="29">
                  <c:v>19</c:v>
                </c:pt>
                <c:pt idx="30">
                  <c:v>50</c:v>
                </c:pt>
                <c:pt idx="31">
                  <c:v>3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</c:v>
                </c:pt>
                <c:pt idx="42">
                  <c:v>0</c:v>
                </c:pt>
                <c:pt idx="43">
                  <c:v>1</c:v>
                </c:pt>
                <c:pt idx="44">
                  <c:v>16</c:v>
                </c:pt>
                <c:pt idx="45">
                  <c:v>38</c:v>
                </c:pt>
                <c:pt idx="46">
                  <c:v>27</c:v>
                </c:pt>
                <c:pt idx="47">
                  <c:v>5</c:v>
                </c:pt>
                <c:pt idx="48">
                  <c:v>5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25</c:v>
                </c:pt>
                <c:pt idx="53">
                  <c:v>13</c:v>
                </c:pt>
                <c:pt idx="54">
                  <c:v>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39</c:v>
                </c:pt>
                <c:pt idx="62">
                  <c:v>7</c:v>
                </c:pt>
                <c:pt idx="63">
                  <c:v>2</c:v>
                </c:pt>
                <c:pt idx="64">
                  <c:v>14</c:v>
                </c:pt>
                <c:pt idx="65">
                  <c:v>517</c:v>
                </c:pt>
                <c:pt idx="66">
                  <c:v>59</c:v>
                </c:pt>
                <c:pt idx="67">
                  <c:v>12</c:v>
                </c:pt>
                <c:pt idx="68">
                  <c:v>16</c:v>
                </c:pt>
                <c:pt idx="69">
                  <c:v>97</c:v>
                </c:pt>
                <c:pt idx="70">
                  <c:v>75</c:v>
                </c:pt>
                <c:pt idx="71">
                  <c:v>19</c:v>
                </c:pt>
                <c:pt idx="72">
                  <c:v>25</c:v>
                </c:pt>
                <c:pt idx="73">
                  <c:v>4</c:v>
                </c:pt>
                <c:pt idx="74">
                  <c:v>43</c:v>
                </c:pt>
                <c:pt idx="75">
                  <c:v>38</c:v>
                </c:pt>
                <c:pt idx="76">
                  <c:v>0</c:v>
                </c:pt>
                <c:pt idx="77">
                  <c:v>1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7</c:v>
                </c:pt>
                <c:pt idx="82">
                  <c:v>3</c:v>
                </c:pt>
                <c:pt idx="83">
                  <c:v>0</c:v>
                </c:pt>
                <c:pt idx="84">
                  <c:v>74</c:v>
                </c:pt>
                <c:pt idx="85">
                  <c:v>0</c:v>
                </c:pt>
                <c:pt idx="86">
                  <c:v>17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12</c:v>
                </c:pt>
                <c:pt idx="95">
                  <c:v>6</c:v>
                </c:pt>
                <c:pt idx="96">
                  <c:v>0</c:v>
                </c:pt>
                <c:pt idx="97">
                  <c:v>17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71</c:v>
                </c:pt>
                <c:pt idx="104">
                  <c:v>25</c:v>
                </c:pt>
                <c:pt idx="105">
                  <c:v>1</c:v>
                </c:pt>
                <c:pt idx="106">
                  <c:v>247</c:v>
                </c:pt>
                <c:pt idx="107">
                  <c:v>2</c:v>
                </c:pt>
                <c:pt idx="108">
                  <c:v>40</c:v>
                </c:pt>
                <c:pt idx="109">
                  <c:v>0</c:v>
                </c:pt>
                <c:pt idx="110">
                  <c:v>6</c:v>
                </c:pt>
                <c:pt idx="111">
                  <c:v>0</c:v>
                </c:pt>
                <c:pt idx="112">
                  <c:v>3</c:v>
                </c:pt>
                <c:pt idx="113">
                  <c:v>0</c:v>
                </c:pt>
                <c:pt idx="114">
                  <c:v>0</c:v>
                </c:pt>
                <c:pt idx="115">
                  <c:v>41</c:v>
                </c:pt>
                <c:pt idx="116">
                  <c:v>0</c:v>
                </c:pt>
                <c:pt idx="117">
                  <c:v>153</c:v>
                </c:pt>
                <c:pt idx="118">
                  <c:v>104</c:v>
                </c:pt>
                <c:pt idx="119">
                  <c:v>35</c:v>
                </c:pt>
                <c:pt idx="120">
                  <c:v>2</c:v>
                </c:pt>
                <c:pt idx="121">
                  <c:v>0</c:v>
                </c:pt>
                <c:pt idx="122">
                  <c:v>327</c:v>
                </c:pt>
                <c:pt idx="123">
                  <c:v>4</c:v>
                </c:pt>
                <c:pt idx="124">
                  <c:v>0</c:v>
                </c:pt>
                <c:pt idx="125">
                  <c:v>0</c:v>
                </c:pt>
                <c:pt idx="126">
                  <c:v>4</c:v>
                </c:pt>
                <c:pt idx="127">
                  <c:v>11</c:v>
                </c:pt>
                <c:pt idx="128">
                  <c:v>16</c:v>
                </c:pt>
                <c:pt idx="129">
                  <c:v>12</c:v>
                </c:pt>
                <c:pt idx="130">
                  <c:v>1</c:v>
                </c:pt>
                <c:pt idx="131">
                  <c:v>14</c:v>
                </c:pt>
                <c:pt idx="132">
                  <c:v>5</c:v>
                </c:pt>
                <c:pt idx="133">
                  <c:v>0</c:v>
                </c:pt>
                <c:pt idx="134">
                  <c:v>0</c:v>
                </c:pt>
                <c:pt idx="135">
                  <c:v>6</c:v>
                </c:pt>
                <c:pt idx="136">
                  <c:v>17</c:v>
                </c:pt>
                <c:pt idx="137">
                  <c:v>0</c:v>
                </c:pt>
                <c:pt idx="138">
                  <c:v>25</c:v>
                </c:pt>
                <c:pt idx="139">
                  <c:v>179</c:v>
                </c:pt>
                <c:pt idx="140">
                  <c:v>3406</c:v>
                </c:pt>
                <c:pt idx="141">
                  <c:v>30</c:v>
                </c:pt>
                <c:pt idx="142">
                  <c:v>0</c:v>
                </c:pt>
                <c:pt idx="143">
                  <c:v>3</c:v>
                </c:pt>
                <c:pt idx="144">
                  <c:v>8</c:v>
                </c:pt>
                <c:pt idx="145">
                  <c:v>17</c:v>
                </c:pt>
                <c:pt idx="146">
                  <c:v>3</c:v>
                </c:pt>
                <c:pt idx="147">
                  <c:v>86</c:v>
                </c:pt>
                <c:pt idx="148">
                  <c:v>9</c:v>
                </c:pt>
                <c:pt idx="14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9-4727-8CB5-8A64F4592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109919"/>
        <c:axId val="2095104927"/>
      </c:lineChart>
      <c:dateAx>
        <c:axId val="20951099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5104927"/>
        <c:crosses val="autoZero"/>
        <c:auto val="1"/>
        <c:lblOffset val="100"/>
        <c:baseTimeUnit val="days"/>
      </c:dateAx>
      <c:valAx>
        <c:axId val="209510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51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Muertes</a:t>
            </a:r>
            <a:r>
              <a:rPr lang="en-US" baseline="0"/>
              <a:t> diarias a lo largo del tiempo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BaseDatosCOVID.xlsx!$H$1</c:f>
              <c:strCache>
                <c:ptCount val="1"/>
                <c:pt idx="0">
                  <c:v>daily_deaths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BaseDatosCOVID.xlsx!$A$2:$A$151</c:f>
              <c:numCache>
                <c:formatCode>m/d/yyyy</c:formatCode>
                <c:ptCount val="150"/>
                <c:pt idx="0">
                  <c:v>44469</c:v>
                </c:pt>
                <c:pt idx="1">
                  <c:v>44533</c:v>
                </c:pt>
                <c:pt idx="2">
                  <c:v>44344</c:v>
                </c:pt>
                <c:pt idx="3">
                  <c:v>44418</c:v>
                </c:pt>
                <c:pt idx="4">
                  <c:v>44441</c:v>
                </c:pt>
                <c:pt idx="5">
                  <c:v>44215</c:v>
                </c:pt>
                <c:pt idx="6">
                  <c:v>44281</c:v>
                </c:pt>
                <c:pt idx="7">
                  <c:v>44319</c:v>
                </c:pt>
                <c:pt idx="8">
                  <c:v>44314</c:v>
                </c:pt>
                <c:pt idx="9">
                  <c:v>44481</c:v>
                </c:pt>
                <c:pt idx="10">
                  <c:v>44351</c:v>
                </c:pt>
                <c:pt idx="11">
                  <c:v>44355</c:v>
                </c:pt>
                <c:pt idx="12">
                  <c:v>44325</c:v>
                </c:pt>
                <c:pt idx="13">
                  <c:v>44552</c:v>
                </c:pt>
                <c:pt idx="14">
                  <c:v>44449</c:v>
                </c:pt>
                <c:pt idx="15">
                  <c:v>44375</c:v>
                </c:pt>
                <c:pt idx="16">
                  <c:v>44526</c:v>
                </c:pt>
                <c:pt idx="17">
                  <c:v>44208</c:v>
                </c:pt>
                <c:pt idx="18">
                  <c:v>44243</c:v>
                </c:pt>
                <c:pt idx="19">
                  <c:v>44378</c:v>
                </c:pt>
                <c:pt idx="20">
                  <c:v>44474</c:v>
                </c:pt>
                <c:pt idx="21">
                  <c:v>44510</c:v>
                </c:pt>
                <c:pt idx="22">
                  <c:v>44557</c:v>
                </c:pt>
                <c:pt idx="23">
                  <c:v>44550</c:v>
                </c:pt>
                <c:pt idx="24">
                  <c:v>44349</c:v>
                </c:pt>
                <c:pt idx="25">
                  <c:v>44345</c:v>
                </c:pt>
                <c:pt idx="26">
                  <c:v>44337</c:v>
                </c:pt>
                <c:pt idx="27">
                  <c:v>44256</c:v>
                </c:pt>
                <c:pt idx="28">
                  <c:v>44335</c:v>
                </c:pt>
                <c:pt idx="29">
                  <c:v>44545</c:v>
                </c:pt>
                <c:pt idx="30">
                  <c:v>44456</c:v>
                </c:pt>
                <c:pt idx="31">
                  <c:v>44526</c:v>
                </c:pt>
                <c:pt idx="32">
                  <c:v>44279</c:v>
                </c:pt>
                <c:pt idx="33">
                  <c:v>44491</c:v>
                </c:pt>
                <c:pt idx="34">
                  <c:v>44554</c:v>
                </c:pt>
                <c:pt idx="35">
                  <c:v>44268</c:v>
                </c:pt>
                <c:pt idx="36">
                  <c:v>44499</c:v>
                </c:pt>
                <c:pt idx="37">
                  <c:v>44246</c:v>
                </c:pt>
                <c:pt idx="38">
                  <c:v>44422</c:v>
                </c:pt>
                <c:pt idx="39">
                  <c:v>44368</c:v>
                </c:pt>
                <c:pt idx="40">
                  <c:v>44417</c:v>
                </c:pt>
                <c:pt idx="41">
                  <c:v>44269</c:v>
                </c:pt>
                <c:pt idx="42">
                  <c:v>44485</c:v>
                </c:pt>
                <c:pt idx="43">
                  <c:v>44384</c:v>
                </c:pt>
                <c:pt idx="44">
                  <c:v>44224</c:v>
                </c:pt>
                <c:pt idx="45">
                  <c:v>44225</c:v>
                </c:pt>
                <c:pt idx="46">
                  <c:v>44446</c:v>
                </c:pt>
                <c:pt idx="47">
                  <c:v>44417</c:v>
                </c:pt>
                <c:pt idx="48">
                  <c:v>44259</c:v>
                </c:pt>
                <c:pt idx="49">
                  <c:v>44440</c:v>
                </c:pt>
                <c:pt idx="50">
                  <c:v>44373</c:v>
                </c:pt>
                <c:pt idx="51">
                  <c:v>44308</c:v>
                </c:pt>
                <c:pt idx="52">
                  <c:v>44352</c:v>
                </c:pt>
                <c:pt idx="53">
                  <c:v>44405</c:v>
                </c:pt>
                <c:pt idx="54">
                  <c:v>44320</c:v>
                </c:pt>
                <c:pt idx="55">
                  <c:v>44346</c:v>
                </c:pt>
                <c:pt idx="56">
                  <c:v>44417</c:v>
                </c:pt>
                <c:pt idx="57">
                  <c:v>44295</c:v>
                </c:pt>
                <c:pt idx="58">
                  <c:v>44408</c:v>
                </c:pt>
                <c:pt idx="59">
                  <c:v>44246</c:v>
                </c:pt>
                <c:pt idx="60">
                  <c:v>44450</c:v>
                </c:pt>
                <c:pt idx="61">
                  <c:v>44489</c:v>
                </c:pt>
                <c:pt idx="62">
                  <c:v>44250</c:v>
                </c:pt>
                <c:pt idx="63">
                  <c:v>44210</c:v>
                </c:pt>
                <c:pt idx="64">
                  <c:v>44343</c:v>
                </c:pt>
                <c:pt idx="65">
                  <c:v>44475</c:v>
                </c:pt>
                <c:pt idx="66">
                  <c:v>44213</c:v>
                </c:pt>
                <c:pt idx="67">
                  <c:v>44315</c:v>
                </c:pt>
                <c:pt idx="68">
                  <c:v>44514</c:v>
                </c:pt>
                <c:pt idx="69">
                  <c:v>44454</c:v>
                </c:pt>
                <c:pt idx="70">
                  <c:v>44241</c:v>
                </c:pt>
                <c:pt idx="71">
                  <c:v>44425</c:v>
                </c:pt>
                <c:pt idx="72">
                  <c:v>44545</c:v>
                </c:pt>
                <c:pt idx="73">
                  <c:v>44300</c:v>
                </c:pt>
                <c:pt idx="74">
                  <c:v>44476</c:v>
                </c:pt>
                <c:pt idx="75">
                  <c:v>44482</c:v>
                </c:pt>
                <c:pt idx="76">
                  <c:v>44372</c:v>
                </c:pt>
                <c:pt idx="77">
                  <c:v>44362</c:v>
                </c:pt>
                <c:pt idx="78">
                  <c:v>44355</c:v>
                </c:pt>
                <c:pt idx="79">
                  <c:v>44436</c:v>
                </c:pt>
                <c:pt idx="80">
                  <c:v>44523</c:v>
                </c:pt>
                <c:pt idx="81">
                  <c:v>44276</c:v>
                </c:pt>
                <c:pt idx="82">
                  <c:v>44557</c:v>
                </c:pt>
                <c:pt idx="83">
                  <c:v>44478</c:v>
                </c:pt>
                <c:pt idx="84">
                  <c:v>44224</c:v>
                </c:pt>
                <c:pt idx="85">
                  <c:v>44451</c:v>
                </c:pt>
                <c:pt idx="86">
                  <c:v>44475</c:v>
                </c:pt>
                <c:pt idx="87">
                  <c:v>44361</c:v>
                </c:pt>
                <c:pt idx="88">
                  <c:v>44439</c:v>
                </c:pt>
                <c:pt idx="89">
                  <c:v>44397</c:v>
                </c:pt>
                <c:pt idx="90">
                  <c:v>44395</c:v>
                </c:pt>
                <c:pt idx="91">
                  <c:v>44464</c:v>
                </c:pt>
                <c:pt idx="92">
                  <c:v>44319</c:v>
                </c:pt>
                <c:pt idx="93">
                  <c:v>44472</c:v>
                </c:pt>
                <c:pt idx="94">
                  <c:v>44477</c:v>
                </c:pt>
                <c:pt idx="95">
                  <c:v>44540</c:v>
                </c:pt>
                <c:pt idx="96">
                  <c:v>44371</c:v>
                </c:pt>
                <c:pt idx="97">
                  <c:v>44212</c:v>
                </c:pt>
                <c:pt idx="98">
                  <c:v>44338</c:v>
                </c:pt>
                <c:pt idx="99">
                  <c:v>44290</c:v>
                </c:pt>
                <c:pt idx="100">
                  <c:v>44329</c:v>
                </c:pt>
                <c:pt idx="101">
                  <c:v>44440</c:v>
                </c:pt>
                <c:pt idx="102">
                  <c:v>44373</c:v>
                </c:pt>
                <c:pt idx="103">
                  <c:v>44365</c:v>
                </c:pt>
                <c:pt idx="104">
                  <c:v>44287</c:v>
                </c:pt>
                <c:pt idx="105">
                  <c:v>44432</c:v>
                </c:pt>
                <c:pt idx="106">
                  <c:v>44547</c:v>
                </c:pt>
                <c:pt idx="107">
                  <c:v>44385</c:v>
                </c:pt>
                <c:pt idx="108">
                  <c:v>44253</c:v>
                </c:pt>
                <c:pt idx="109">
                  <c:v>44346</c:v>
                </c:pt>
                <c:pt idx="110">
                  <c:v>44473</c:v>
                </c:pt>
                <c:pt idx="111">
                  <c:v>44450</c:v>
                </c:pt>
                <c:pt idx="112">
                  <c:v>44265</c:v>
                </c:pt>
                <c:pt idx="113">
                  <c:v>44416</c:v>
                </c:pt>
                <c:pt idx="114">
                  <c:v>44466</c:v>
                </c:pt>
                <c:pt idx="115">
                  <c:v>44462</c:v>
                </c:pt>
                <c:pt idx="116">
                  <c:v>44402</c:v>
                </c:pt>
                <c:pt idx="117">
                  <c:v>44418</c:v>
                </c:pt>
                <c:pt idx="118">
                  <c:v>44426</c:v>
                </c:pt>
                <c:pt idx="119">
                  <c:v>44472</c:v>
                </c:pt>
                <c:pt idx="120">
                  <c:v>44361</c:v>
                </c:pt>
                <c:pt idx="121">
                  <c:v>44405</c:v>
                </c:pt>
                <c:pt idx="122">
                  <c:v>44237</c:v>
                </c:pt>
                <c:pt idx="123">
                  <c:v>44512</c:v>
                </c:pt>
                <c:pt idx="124">
                  <c:v>44513</c:v>
                </c:pt>
                <c:pt idx="125">
                  <c:v>44371</c:v>
                </c:pt>
                <c:pt idx="126">
                  <c:v>44473</c:v>
                </c:pt>
                <c:pt idx="127">
                  <c:v>44254</c:v>
                </c:pt>
                <c:pt idx="128">
                  <c:v>44424</c:v>
                </c:pt>
                <c:pt idx="129">
                  <c:v>44422</c:v>
                </c:pt>
                <c:pt idx="130">
                  <c:v>44292</c:v>
                </c:pt>
                <c:pt idx="131">
                  <c:v>44369</c:v>
                </c:pt>
                <c:pt idx="132">
                  <c:v>44328</c:v>
                </c:pt>
                <c:pt idx="133">
                  <c:v>44303</c:v>
                </c:pt>
                <c:pt idx="134">
                  <c:v>44501</c:v>
                </c:pt>
                <c:pt idx="135">
                  <c:v>44287</c:v>
                </c:pt>
                <c:pt idx="136">
                  <c:v>44433</c:v>
                </c:pt>
                <c:pt idx="137">
                  <c:v>44459</c:v>
                </c:pt>
                <c:pt idx="138">
                  <c:v>44245</c:v>
                </c:pt>
                <c:pt idx="139">
                  <c:v>44428</c:v>
                </c:pt>
                <c:pt idx="140">
                  <c:v>44561</c:v>
                </c:pt>
                <c:pt idx="141">
                  <c:v>44540</c:v>
                </c:pt>
                <c:pt idx="142">
                  <c:v>44555</c:v>
                </c:pt>
                <c:pt idx="143">
                  <c:v>44531</c:v>
                </c:pt>
                <c:pt idx="144">
                  <c:v>44289</c:v>
                </c:pt>
                <c:pt idx="145">
                  <c:v>44472</c:v>
                </c:pt>
                <c:pt idx="146">
                  <c:v>44533</c:v>
                </c:pt>
                <c:pt idx="147">
                  <c:v>44455</c:v>
                </c:pt>
                <c:pt idx="148">
                  <c:v>44401</c:v>
                </c:pt>
                <c:pt idx="149">
                  <c:v>44544</c:v>
                </c:pt>
              </c:numCache>
            </c:numRef>
          </c:cat>
          <c:val>
            <c:numRef>
              <c:f>BaseDatosCOVID.xlsx!$H$2:$H$151</c:f>
              <c:numCache>
                <c:formatCode>General</c:formatCode>
                <c:ptCount val="15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8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5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2</c:v>
                </c:pt>
                <c:pt idx="118">
                  <c:v>0</c:v>
                </c:pt>
                <c:pt idx="119">
                  <c:v>1</c:v>
                </c:pt>
                <c:pt idx="120">
                  <c:v>3</c:v>
                </c:pt>
                <c:pt idx="121">
                  <c:v>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6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2</c:v>
                </c:pt>
                <c:pt idx="141">
                  <c:v>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</c:v>
                </c:pt>
                <c:pt idx="148">
                  <c:v>0</c:v>
                </c:pt>
                <c:pt idx="14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8-4DEA-A469-A361EF739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357135"/>
        <c:axId val="1990357967"/>
      </c:lineChart>
      <c:dateAx>
        <c:axId val="19903571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0357967"/>
        <c:crosses val="autoZero"/>
        <c:auto val="1"/>
        <c:lblOffset val="100"/>
        <c:baseTimeUnit val="days"/>
      </c:dateAx>
      <c:valAx>
        <c:axId val="199035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035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 de</a:t>
            </a:r>
            <a:r>
              <a:rPr lang="es-CO" baseline="0"/>
              <a:t> casos diarios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BaseDatosCOVID.xlsx!$M$49</c:f>
              <c:strCache>
                <c:ptCount val="1"/>
                <c:pt idx="0">
                  <c:v>Promedio daily_cases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BaseDatosCOVID.xlsx!$L$50:$L$51</c:f>
              <c:strCache>
                <c:ptCount val="2"/>
                <c:pt idx="0">
                  <c:v>0 (Semana)</c:v>
                </c:pt>
                <c:pt idx="1">
                  <c:v>1 (Fin de semana)</c:v>
                </c:pt>
              </c:strCache>
            </c:strRef>
          </c:cat>
          <c:val>
            <c:numRef>
              <c:f>BaseDatosCOVID.xlsx!$M$50:$M$51</c:f>
              <c:numCache>
                <c:formatCode>General</c:formatCode>
                <c:ptCount val="2"/>
                <c:pt idx="0">
                  <c:v>57.72072072072072</c:v>
                </c:pt>
                <c:pt idx="1">
                  <c:v>8.5384615384615383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B-493D-BF08-95B136B8A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547951"/>
        <c:axId val="1328548367"/>
      </c:barChart>
      <c:catAx>
        <c:axId val="132854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548367"/>
        <c:crosses val="autoZero"/>
        <c:auto val="1"/>
        <c:lblAlgn val="ctr"/>
        <c:lblOffset val="100"/>
        <c:noMultiLvlLbl val="0"/>
      </c:catAx>
      <c:valAx>
        <c:axId val="132854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54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Casos según día de la semana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BaseDatosCOVID.xlsx!$I$1</c:f>
              <c:strCache>
                <c:ptCount val="1"/>
                <c:pt idx="0">
                  <c:v>day_of_week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BaseDatosCOVID.xlsx!$I$2:$I$151</c:f>
              <c:numCache>
                <c:formatCode>General</c:formatCode>
                <c:ptCount val="15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6</c:v>
                </c:pt>
                <c:pt idx="13">
                  <c:v>2</c:v>
                </c:pt>
                <c:pt idx="14">
                  <c:v>4</c:v>
                </c:pt>
                <c:pt idx="15">
                  <c:v>0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5</c:v>
                </c:pt>
                <c:pt idx="26">
                  <c:v>4</c:v>
                </c:pt>
                <c:pt idx="27">
                  <c:v>0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2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4</c:v>
                </c:pt>
                <c:pt idx="38">
                  <c:v>5</c:v>
                </c:pt>
                <c:pt idx="39">
                  <c:v>0</c:v>
                </c:pt>
                <c:pt idx="40">
                  <c:v>0</c:v>
                </c:pt>
                <c:pt idx="41">
                  <c:v>6</c:v>
                </c:pt>
                <c:pt idx="42">
                  <c:v>5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1</c:v>
                </c:pt>
                <c:pt idx="47">
                  <c:v>0</c:v>
                </c:pt>
                <c:pt idx="48">
                  <c:v>3</c:v>
                </c:pt>
                <c:pt idx="49">
                  <c:v>2</c:v>
                </c:pt>
                <c:pt idx="50">
                  <c:v>5</c:v>
                </c:pt>
                <c:pt idx="51">
                  <c:v>3</c:v>
                </c:pt>
                <c:pt idx="52">
                  <c:v>5</c:v>
                </c:pt>
                <c:pt idx="53">
                  <c:v>2</c:v>
                </c:pt>
                <c:pt idx="54">
                  <c:v>1</c:v>
                </c:pt>
                <c:pt idx="55">
                  <c:v>6</c:v>
                </c:pt>
                <c:pt idx="56">
                  <c:v>0</c:v>
                </c:pt>
                <c:pt idx="57">
                  <c:v>4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2</c:v>
                </c:pt>
                <c:pt idx="62">
                  <c:v>1</c:v>
                </c:pt>
                <c:pt idx="63">
                  <c:v>3</c:v>
                </c:pt>
                <c:pt idx="64">
                  <c:v>3</c:v>
                </c:pt>
                <c:pt idx="65">
                  <c:v>2</c:v>
                </c:pt>
                <c:pt idx="66">
                  <c:v>6</c:v>
                </c:pt>
                <c:pt idx="67">
                  <c:v>3</c:v>
                </c:pt>
                <c:pt idx="68">
                  <c:v>6</c:v>
                </c:pt>
                <c:pt idx="69">
                  <c:v>2</c:v>
                </c:pt>
                <c:pt idx="70">
                  <c:v>6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4</c:v>
                </c:pt>
                <c:pt idx="77">
                  <c:v>1</c:v>
                </c:pt>
                <c:pt idx="78">
                  <c:v>1</c:v>
                </c:pt>
                <c:pt idx="79">
                  <c:v>5</c:v>
                </c:pt>
                <c:pt idx="80">
                  <c:v>1</c:v>
                </c:pt>
                <c:pt idx="81">
                  <c:v>6</c:v>
                </c:pt>
                <c:pt idx="82">
                  <c:v>0</c:v>
                </c:pt>
                <c:pt idx="83">
                  <c:v>5</c:v>
                </c:pt>
                <c:pt idx="84">
                  <c:v>3</c:v>
                </c:pt>
                <c:pt idx="85">
                  <c:v>6</c:v>
                </c:pt>
                <c:pt idx="86">
                  <c:v>2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6</c:v>
                </c:pt>
                <c:pt idx="91">
                  <c:v>5</c:v>
                </c:pt>
                <c:pt idx="92">
                  <c:v>0</c:v>
                </c:pt>
                <c:pt idx="93">
                  <c:v>6</c:v>
                </c:pt>
                <c:pt idx="94">
                  <c:v>4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3</c:v>
                </c:pt>
                <c:pt idx="101">
                  <c:v>2</c:v>
                </c:pt>
                <c:pt idx="102">
                  <c:v>5</c:v>
                </c:pt>
                <c:pt idx="103">
                  <c:v>4</c:v>
                </c:pt>
                <c:pt idx="104">
                  <c:v>3</c:v>
                </c:pt>
                <c:pt idx="105">
                  <c:v>1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6</c:v>
                </c:pt>
                <c:pt idx="110">
                  <c:v>0</c:v>
                </c:pt>
                <c:pt idx="111">
                  <c:v>5</c:v>
                </c:pt>
                <c:pt idx="112">
                  <c:v>2</c:v>
                </c:pt>
                <c:pt idx="113">
                  <c:v>6</c:v>
                </c:pt>
                <c:pt idx="114">
                  <c:v>0</c:v>
                </c:pt>
                <c:pt idx="115">
                  <c:v>3</c:v>
                </c:pt>
                <c:pt idx="116">
                  <c:v>6</c:v>
                </c:pt>
                <c:pt idx="117">
                  <c:v>1</c:v>
                </c:pt>
                <c:pt idx="118">
                  <c:v>2</c:v>
                </c:pt>
                <c:pt idx="119">
                  <c:v>6</c:v>
                </c:pt>
                <c:pt idx="120">
                  <c:v>0</c:v>
                </c:pt>
                <c:pt idx="121">
                  <c:v>2</c:v>
                </c:pt>
                <c:pt idx="122">
                  <c:v>2</c:v>
                </c:pt>
                <c:pt idx="123">
                  <c:v>4</c:v>
                </c:pt>
                <c:pt idx="124">
                  <c:v>5</c:v>
                </c:pt>
                <c:pt idx="125">
                  <c:v>3</c:v>
                </c:pt>
                <c:pt idx="126">
                  <c:v>0</c:v>
                </c:pt>
                <c:pt idx="127">
                  <c:v>5</c:v>
                </c:pt>
                <c:pt idx="128">
                  <c:v>0</c:v>
                </c:pt>
                <c:pt idx="129">
                  <c:v>5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5</c:v>
                </c:pt>
                <c:pt idx="134">
                  <c:v>0</c:v>
                </c:pt>
                <c:pt idx="135">
                  <c:v>3</c:v>
                </c:pt>
                <c:pt idx="136">
                  <c:v>2</c:v>
                </c:pt>
                <c:pt idx="137">
                  <c:v>0</c:v>
                </c:pt>
                <c:pt idx="138">
                  <c:v>3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2</c:v>
                </c:pt>
                <c:pt idx="144">
                  <c:v>5</c:v>
                </c:pt>
                <c:pt idx="145">
                  <c:v>6</c:v>
                </c:pt>
                <c:pt idx="146">
                  <c:v>4</c:v>
                </c:pt>
                <c:pt idx="147">
                  <c:v>3</c:v>
                </c:pt>
                <c:pt idx="148">
                  <c:v>5</c:v>
                </c:pt>
                <c:pt idx="1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3-4B94-BC97-F3152E4AD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6725215"/>
        <c:axId val="308486447"/>
      </c:barChart>
      <c:catAx>
        <c:axId val="14967252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8486447"/>
        <c:crosses val="autoZero"/>
        <c:auto val="1"/>
        <c:lblAlgn val="ctr"/>
        <c:lblOffset val="100"/>
        <c:noMultiLvlLbl val="0"/>
      </c:catAx>
      <c:valAx>
        <c:axId val="30848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672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Casos diarios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Casos diarios</a:t>
          </a:r>
        </a:p>
      </cx:txPr>
    </cx:title>
    <cx:plotArea>
      <cx:plotAreaRegion>
        <cx:series layoutId="clusteredColumn" uniqueId="{394DF9C8-4858-40AC-A6B9-78653BCBD03B}">
          <cx:tx>
            <cx:txData>
              <cx:f>_xlchart.v1.2</cx:f>
              <cx:v>daily_cases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Muertes diarias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Muertes diarias</a:t>
          </a:r>
        </a:p>
      </cx:txPr>
    </cx:title>
    <cx:plotArea>
      <cx:plotAreaRegion>
        <cx:series layoutId="clusteredColumn" uniqueId="{DFF2206C-D692-46FF-9A5B-342F69894EDE}">
          <cx:tx>
            <cx:txData>
              <cx:f>_xlchart.v1.0</cx:f>
              <cx:v>daily_deaths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11206</xdr:colOff>
      <xdr:row>1</xdr:row>
      <xdr:rowOff>113179</xdr:rowOff>
    </xdr:from>
    <xdr:to>
      <xdr:col>15</xdr:col>
      <xdr:colOff>61451</xdr:colOff>
      <xdr:row>15</xdr:row>
      <xdr:rowOff>15362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326DAB3-B351-450C-B936-A40D58DD89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83424" y="297534"/>
              <a:ext cx="4674479" cy="24831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184355</xdr:colOff>
      <xdr:row>1</xdr:row>
      <xdr:rowOff>92177</xdr:rowOff>
    </xdr:from>
    <xdr:to>
      <xdr:col>19</xdr:col>
      <xdr:colOff>722057</xdr:colOff>
      <xdr:row>15</xdr:row>
      <xdr:rowOff>30725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E0912A7-4381-4C30-9B5F-17359955F1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80807" y="276532"/>
              <a:ext cx="4931492" cy="25195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33798</xdr:colOff>
      <xdr:row>16</xdr:row>
      <xdr:rowOff>25159</xdr:rowOff>
    </xdr:from>
    <xdr:to>
      <xdr:col>15</xdr:col>
      <xdr:colOff>61451</xdr:colOff>
      <xdr:row>29</xdr:row>
      <xdr:rowOff>122904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08167E-36DA-4666-B4F8-F289D7580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287918</xdr:colOff>
      <xdr:row>16</xdr:row>
      <xdr:rowOff>45944</xdr:rowOff>
    </xdr:from>
    <xdr:to>
      <xdr:col>19</xdr:col>
      <xdr:colOff>737419</xdr:colOff>
      <xdr:row>29</xdr:row>
      <xdr:rowOff>168992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02A462C-6073-4630-8189-0473B7473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64525</xdr:colOff>
      <xdr:row>31</xdr:row>
      <xdr:rowOff>141645</xdr:rowOff>
    </xdr:from>
    <xdr:to>
      <xdr:col>15</xdr:col>
      <xdr:colOff>138266</xdr:colOff>
      <xdr:row>45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A5D0D35-71EF-405C-AF15-5CB8143F5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356418</xdr:colOff>
      <xdr:row>31</xdr:row>
      <xdr:rowOff>49467</xdr:rowOff>
    </xdr:from>
    <xdr:to>
      <xdr:col>19</xdr:col>
      <xdr:colOff>534628</xdr:colOff>
      <xdr:row>46</xdr:row>
      <xdr:rowOff>11981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F7D0E33-CD9D-4942-B3B8-CFD1B93B9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1"/>
  <sheetViews>
    <sheetView tabSelected="1" zoomScale="94" zoomScaleNormal="62" workbookViewId="0">
      <selection activeCell="T55" sqref="T55"/>
    </sheetView>
  </sheetViews>
  <sheetFormatPr baseColWidth="10" defaultRowHeight="15" x14ac:dyDescent="0.25"/>
  <cols>
    <col min="1" max="7" width="11.42578125" style="1"/>
    <col min="8" max="8" width="13.7109375" style="1" customWidth="1"/>
    <col min="9" max="9" width="14.140625" style="1" customWidth="1"/>
    <col min="10" max="10" width="11.42578125" style="1" customWidth="1"/>
    <col min="12" max="12" width="24.42578125" customWidth="1"/>
    <col min="13" max="13" width="22" customWidth="1"/>
    <col min="14" max="14" width="10.28515625" customWidth="1"/>
    <col min="15" max="15" width="14.42578125" customWidth="1"/>
    <col min="17" max="17" width="18.5703125" customWidth="1"/>
    <col min="19" max="19" width="24.140625" customWidth="1"/>
    <col min="20" max="20" width="24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44469</v>
      </c>
      <c r="B2" s="1" t="s">
        <v>10</v>
      </c>
      <c r="C2" s="1" t="s">
        <v>11</v>
      </c>
      <c r="D2" s="1">
        <v>37023</v>
      </c>
      <c r="E2" s="1">
        <v>14805</v>
      </c>
      <c r="F2" s="1">
        <v>200</v>
      </c>
      <c r="G2" s="1">
        <v>81</v>
      </c>
      <c r="H2" s="1">
        <v>1</v>
      </c>
      <c r="I2" s="1">
        <v>3</v>
      </c>
      <c r="J2" s="1">
        <v>0</v>
      </c>
    </row>
    <row r="3" spans="1:10" x14ac:dyDescent="0.25">
      <c r="A3" s="2">
        <v>44533</v>
      </c>
      <c r="B3" s="1" t="s">
        <v>12</v>
      </c>
      <c r="C3" s="1" t="s">
        <v>13</v>
      </c>
      <c r="D3" s="1">
        <v>28011</v>
      </c>
      <c r="E3" s="1">
        <v>6468</v>
      </c>
      <c r="F3" s="1">
        <v>151</v>
      </c>
      <c r="G3" s="1">
        <v>0</v>
      </c>
      <c r="H3" s="1">
        <v>0</v>
      </c>
      <c r="I3" s="1">
        <v>4</v>
      </c>
      <c r="J3" s="1">
        <v>0</v>
      </c>
    </row>
    <row r="4" spans="1:10" x14ac:dyDescent="0.25">
      <c r="A4" s="2">
        <v>44344</v>
      </c>
      <c r="B4" s="1" t="s">
        <v>14</v>
      </c>
      <c r="C4" s="1" t="s">
        <v>15</v>
      </c>
      <c r="D4" s="1">
        <v>47005</v>
      </c>
      <c r="E4" s="1">
        <v>1679</v>
      </c>
      <c r="F4" s="1">
        <v>41</v>
      </c>
      <c r="G4" s="1">
        <v>0</v>
      </c>
      <c r="H4" s="1">
        <v>0</v>
      </c>
      <c r="I4" s="1">
        <v>4</v>
      </c>
      <c r="J4" s="1">
        <v>0</v>
      </c>
    </row>
    <row r="5" spans="1:10" x14ac:dyDescent="0.25">
      <c r="A5" s="2">
        <v>44418</v>
      </c>
      <c r="B5" s="1" t="s">
        <v>16</v>
      </c>
      <c r="C5" s="1" t="s">
        <v>17</v>
      </c>
      <c r="D5" s="1">
        <v>55135</v>
      </c>
      <c r="E5" s="1">
        <v>6263</v>
      </c>
      <c r="F5" s="1">
        <v>167</v>
      </c>
      <c r="G5" s="1">
        <v>20</v>
      </c>
      <c r="H5" s="1">
        <v>0</v>
      </c>
      <c r="I5" s="1">
        <v>1</v>
      </c>
      <c r="J5" s="1">
        <v>0</v>
      </c>
    </row>
    <row r="6" spans="1:10" x14ac:dyDescent="0.25">
      <c r="A6" s="2">
        <v>44441</v>
      </c>
      <c r="B6" s="1" t="s">
        <v>18</v>
      </c>
      <c r="C6" s="1" t="s">
        <v>19</v>
      </c>
      <c r="D6" s="1">
        <v>13247</v>
      </c>
      <c r="E6" s="1">
        <v>9851</v>
      </c>
      <c r="F6" s="1">
        <v>193</v>
      </c>
      <c r="G6" s="1">
        <v>35</v>
      </c>
      <c r="H6" s="1">
        <v>0</v>
      </c>
      <c r="I6" s="1">
        <v>3</v>
      </c>
      <c r="J6" s="1">
        <v>0</v>
      </c>
    </row>
    <row r="7" spans="1:10" x14ac:dyDescent="0.25">
      <c r="A7" s="2">
        <v>44215</v>
      </c>
      <c r="B7" s="1" t="s">
        <v>20</v>
      </c>
      <c r="C7" s="1" t="s">
        <v>21</v>
      </c>
      <c r="D7" s="1">
        <v>53037</v>
      </c>
      <c r="E7" s="1">
        <v>1976</v>
      </c>
      <c r="F7" s="1">
        <v>30</v>
      </c>
      <c r="G7" s="1">
        <v>23</v>
      </c>
      <c r="H7" s="1">
        <v>0</v>
      </c>
      <c r="I7" s="1">
        <v>1</v>
      </c>
      <c r="J7" s="1">
        <v>0</v>
      </c>
    </row>
    <row r="8" spans="1:10" x14ac:dyDescent="0.25">
      <c r="A8" s="2">
        <v>44281</v>
      </c>
      <c r="B8" s="1" t="s">
        <v>22</v>
      </c>
      <c r="C8" s="1" t="s">
        <v>23</v>
      </c>
      <c r="D8" s="1">
        <v>16039</v>
      </c>
      <c r="E8" s="1">
        <v>1741</v>
      </c>
      <c r="F8" s="1">
        <v>13</v>
      </c>
      <c r="G8" s="1">
        <v>6</v>
      </c>
      <c r="H8" s="1">
        <v>0</v>
      </c>
      <c r="I8" s="1">
        <v>4</v>
      </c>
      <c r="J8" s="1">
        <v>0</v>
      </c>
    </row>
    <row r="9" spans="1:10" x14ac:dyDescent="0.25">
      <c r="A9" s="2">
        <v>44319</v>
      </c>
      <c r="B9" s="1" t="s">
        <v>24</v>
      </c>
      <c r="C9" s="1" t="s">
        <v>25</v>
      </c>
      <c r="D9" s="1">
        <v>20191</v>
      </c>
      <c r="E9" s="1">
        <v>2163</v>
      </c>
      <c r="F9" s="1">
        <v>51</v>
      </c>
      <c r="G9" s="1">
        <v>5</v>
      </c>
      <c r="H9" s="1">
        <v>0</v>
      </c>
      <c r="I9" s="1">
        <v>0</v>
      </c>
      <c r="J9" s="1">
        <v>0</v>
      </c>
    </row>
    <row r="10" spans="1:10" x14ac:dyDescent="0.25">
      <c r="A10" s="2">
        <v>44314</v>
      </c>
      <c r="B10" s="1" t="s">
        <v>26</v>
      </c>
      <c r="C10" s="1" t="s">
        <v>27</v>
      </c>
      <c r="D10" s="1">
        <v>27115</v>
      </c>
      <c r="E10" s="1">
        <v>3190</v>
      </c>
      <c r="F10" s="1">
        <v>21</v>
      </c>
      <c r="G10" s="1">
        <v>7</v>
      </c>
      <c r="H10" s="1">
        <v>0</v>
      </c>
      <c r="I10" s="1">
        <v>2</v>
      </c>
      <c r="J10" s="1">
        <v>0</v>
      </c>
    </row>
    <row r="11" spans="1:10" x14ac:dyDescent="0.25">
      <c r="A11" s="2">
        <v>44481</v>
      </c>
      <c r="B11" s="1" t="s">
        <v>28</v>
      </c>
      <c r="C11" s="1" t="s">
        <v>15</v>
      </c>
      <c r="D11" s="1">
        <v>47073</v>
      </c>
      <c r="E11" s="1">
        <v>9985</v>
      </c>
      <c r="F11" s="1">
        <v>163</v>
      </c>
      <c r="G11" s="1">
        <v>20</v>
      </c>
      <c r="H11" s="1">
        <v>0</v>
      </c>
      <c r="I11" s="1">
        <v>1</v>
      </c>
      <c r="J11" s="1">
        <v>0</v>
      </c>
    </row>
    <row r="12" spans="1:10" x14ac:dyDescent="0.25">
      <c r="A12" s="2">
        <v>44351</v>
      </c>
      <c r="B12" s="1" t="s">
        <v>29</v>
      </c>
      <c r="C12" s="1" t="s">
        <v>30</v>
      </c>
      <c r="D12" s="1">
        <v>51167</v>
      </c>
      <c r="E12" s="1">
        <v>2295</v>
      </c>
      <c r="F12" s="1">
        <v>39</v>
      </c>
      <c r="G12" s="1">
        <v>0</v>
      </c>
      <c r="H12" s="1">
        <v>0</v>
      </c>
      <c r="I12" s="1">
        <v>4</v>
      </c>
      <c r="J12" s="1">
        <v>0</v>
      </c>
    </row>
    <row r="13" spans="1:10" x14ac:dyDescent="0.25">
      <c r="A13" s="2">
        <v>44355</v>
      </c>
      <c r="B13" s="1" t="s">
        <v>31</v>
      </c>
      <c r="C13" s="1" t="s">
        <v>32</v>
      </c>
      <c r="D13" s="1">
        <v>35023</v>
      </c>
      <c r="E13" s="1">
        <v>364</v>
      </c>
      <c r="F13" s="1">
        <v>9</v>
      </c>
      <c r="G13" s="1">
        <v>0</v>
      </c>
      <c r="H13" s="1">
        <v>0</v>
      </c>
      <c r="I13" s="1">
        <v>1</v>
      </c>
      <c r="J13" s="1">
        <v>0</v>
      </c>
    </row>
    <row r="14" spans="1:10" x14ac:dyDescent="0.25">
      <c r="A14" s="2">
        <v>44325</v>
      </c>
      <c r="B14" s="1" t="s">
        <v>33</v>
      </c>
      <c r="C14" s="1" t="s">
        <v>15</v>
      </c>
      <c r="D14" s="1">
        <v>47065</v>
      </c>
      <c r="E14" s="1">
        <v>44538</v>
      </c>
      <c r="F14" s="1">
        <v>494</v>
      </c>
      <c r="G14" s="1">
        <v>37</v>
      </c>
      <c r="H14" s="1">
        <v>0</v>
      </c>
      <c r="I14" s="1">
        <v>6</v>
      </c>
      <c r="J14" s="1">
        <v>1</v>
      </c>
    </row>
    <row r="15" spans="1:10" x14ac:dyDescent="0.25">
      <c r="A15" s="2">
        <v>44552</v>
      </c>
      <c r="B15" s="1" t="s">
        <v>34</v>
      </c>
      <c r="C15" s="1" t="s">
        <v>27</v>
      </c>
      <c r="D15" s="1">
        <v>27133</v>
      </c>
      <c r="E15" s="1">
        <v>1831</v>
      </c>
      <c r="F15" s="1">
        <v>32</v>
      </c>
      <c r="G15" s="1">
        <v>4</v>
      </c>
      <c r="H15" s="1">
        <v>0</v>
      </c>
      <c r="I15" s="1">
        <v>2</v>
      </c>
      <c r="J15" s="1">
        <v>0</v>
      </c>
    </row>
    <row r="16" spans="1:10" x14ac:dyDescent="0.25">
      <c r="A16" s="2">
        <v>44449</v>
      </c>
      <c r="B16" s="1" t="s">
        <v>35</v>
      </c>
      <c r="C16" s="1" t="s">
        <v>36</v>
      </c>
      <c r="D16" s="1">
        <v>24005</v>
      </c>
      <c r="E16" s="1">
        <v>71032</v>
      </c>
      <c r="F16" s="1">
        <v>1738</v>
      </c>
      <c r="G16" s="1">
        <v>155</v>
      </c>
      <c r="H16" s="1">
        <v>5</v>
      </c>
      <c r="I16" s="1">
        <v>4</v>
      </c>
      <c r="J16" s="1">
        <v>0</v>
      </c>
    </row>
    <row r="17" spans="1:10" x14ac:dyDescent="0.25">
      <c r="A17" s="2">
        <v>44375</v>
      </c>
      <c r="B17" s="1" t="s">
        <v>37</v>
      </c>
      <c r="C17" s="1" t="s">
        <v>19</v>
      </c>
      <c r="D17" s="1">
        <v>13225</v>
      </c>
      <c r="E17" s="1">
        <v>2723</v>
      </c>
      <c r="F17" s="1">
        <v>70</v>
      </c>
      <c r="G17" s="1">
        <v>1</v>
      </c>
      <c r="H17" s="1">
        <v>0</v>
      </c>
      <c r="I17" s="1">
        <v>0</v>
      </c>
      <c r="J17" s="1">
        <v>0</v>
      </c>
    </row>
    <row r="18" spans="1:10" x14ac:dyDescent="0.25">
      <c r="A18" s="2">
        <v>44526</v>
      </c>
      <c r="B18" s="1" t="s">
        <v>38</v>
      </c>
      <c r="C18" s="1" t="s">
        <v>39</v>
      </c>
      <c r="D18" s="1">
        <v>48133</v>
      </c>
      <c r="E18" s="1">
        <v>2205</v>
      </c>
      <c r="F18" s="1">
        <v>82</v>
      </c>
      <c r="G18" s="1">
        <v>0</v>
      </c>
      <c r="H18" s="1">
        <v>0</v>
      </c>
      <c r="I18" s="1">
        <v>4</v>
      </c>
      <c r="J18" s="1">
        <v>0</v>
      </c>
    </row>
    <row r="19" spans="1:10" x14ac:dyDescent="0.25">
      <c r="A19" s="2">
        <v>44208</v>
      </c>
      <c r="B19" s="1" t="s">
        <v>40</v>
      </c>
      <c r="C19" s="1" t="s">
        <v>17</v>
      </c>
      <c r="D19" s="1">
        <v>55119</v>
      </c>
      <c r="E19" s="1">
        <v>1857</v>
      </c>
      <c r="F19" s="1">
        <v>19</v>
      </c>
      <c r="G19" s="1">
        <v>7</v>
      </c>
      <c r="H19" s="1">
        <v>0</v>
      </c>
      <c r="I19" s="1">
        <v>1</v>
      </c>
      <c r="J19" s="1">
        <v>0</v>
      </c>
    </row>
    <row r="20" spans="1:10" x14ac:dyDescent="0.25">
      <c r="A20" s="2">
        <v>44243</v>
      </c>
      <c r="B20" s="1" t="s">
        <v>21</v>
      </c>
      <c r="C20" s="1" t="s">
        <v>36</v>
      </c>
      <c r="D20" s="1">
        <v>24043</v>
      </c>
      <c r="E20" s="1">
        <v>12103</v>
      </c>
      <c r="F20" s="1">
        <v>245</v>
      </c>
      <c r="G20" s="1">
        <v>14</v>
      </c>
      <c r="H20" s="1">
        <v>2</v>
      </c>
      <c r="I20" s="1">
        <v>1</v>
      </c>
      <c r="J20" s="1">
        <v>0</v>
      </c>
    </row>
    <row r="21" spans="1:10" x14ac:dyDescent="0.25">
      <c r="A21" s="2">
        <v>44378</v>
      </c>
      <c r="B21" s="1" t="s">
        <v>41</v>
      </c>
      <c r="C21" s="1" t="s">
        <v>39</v>
      </c>
      <c r="D21" s="1">
        <v>48373</v>
      </c>
      <c r="E21" s="1">
        <v>3417</v>
      </c>
      <c r="F21" s="1">
        <v>120</v>
      </c>
      <c r="G21" s="1">
        <v>0</v>
      </c>
      <c r="H21" s="1">
        <v>0</v>
      </c>
      <c r="I21" s="1">
        <v>3</v>
      </c>
      <c r="J21" s="1">
        <v>0</v>
      </c>
    </row>
    <row r="22" spans="1:10" x14ac:dyDescent="0.25">
      <c r="A22" s="2">
        <v>44474</v>
      </c>
      <c r="B22" s="1" t="s">
        <v>42</v>
      </c>
      <c r="C22" s="1" t="s">
        <v>43</v>
      </c>
      <c r="D22" s="1">
        <v>29149</v>
      </c>
      <c r="E22" s="1">
        <v>1307</v>
      </c>
      <c r="F22" s="1">
        <v>10</v>
      </c>
      <c r="G22" s="1">
        <v>1</v>
      </c>
      <c r="H22" s="1">
        <v>0</v>
      </c>
      <c r="I22" s="1">
        <v>1</v>
      </c>
      <c r="J22" s="1">
        <v>0</v>
      </c>
    </row>
    <row r="23" spans="1:10" x14ac:dyDescent="0.25">
      <c r="A23" s="2">
        <v>44510</v>
      </c>
      <c r="B23" s="1" t="s">
        <v>44</v>
      </c>
      <c r="C23" s="1" t="s">
        <v>45</v>
      </c>
      <c r="D23" s="1">
        <v>5097</v>
      </c>
      <c r="E23" s="1">
        <v>1141</v>
      </c>
      <c r="F23" s="1">
        <v>46</v>
      </c>
      <c r="G23" s="1">
        <v>1</v>
      </c>
      <c r="H23" s="1">
        <v>0</v>
      </c>
      <c r="I23" s="1">
        <v>2</v>
      </c>
      <c r="J23" s="1">
        <v>0</v>
      </c>
    </row>
    <row r="24" spans="1:10" x14ac:dyDescent="0.25">
      <c r="A24" s="2">
        <v>44557</v>
      </c>
      <c r="B24" s="1" t="s">
        <v>46</v>
      </c>
      <c r="C24" s="1" t="s">
        <v>36</v>
      </c>
      <c r="D24" s="1">
        <v>24013</v>
      </c>
      <c r="E24" s="1">
        <v>13011</v>
      </c>
      <c r="F24" s="1">
        <v>297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5">
      <c r="A25" s="2">
        <v>44550</v>
      </c>
      <c r="B25" s="1" t="s">
        <v>47</v>
      </c>
      <c r="C25" s="1" t="s">
        <v>19</v>
      </c>
      <c r="D25" s="1">
        <v>13055</v>
      </c>
      <c r="E25" s="1">
        <v>4802</v>
      </c>
      <c r="F25" s="1">
        <v>108</v>
      </c>
      <c r="G25" s="1">
        <v>19</v>
      </c>
      <c r="H25" s="1">
        <v>0</v>
      </c>
      <c r="I25" s="1">
        <v>0</v>
      </c>
      <c r="J25" s="1">
        <v>0</v>
      </c>
    </row>
    <row r="26" spans="1:10" x14ac:dyDescent="0.25">
      <c r="A26" s="2">
        <v>44349</v>
      </c>
      <c r="B26" s="1" t="s">
        <v>48</v>
      </c>
      <c r="C26" s="1" t="s">
        <v>11</v>
      </c>
      <c r="D26" s="1">
        <v>37197</v>
      </c>
      <c r="E26" s="1">
        <v>4109</v>
      </c>
      <c r="F26" s="1">
        <v>51</v>
      </c>
      <c r="G26" s="1">
        <v>2</v>
      </c>
      <c r="H26" s="1">
        <v>0</v>
      </c>
      <c r="I26" s="1">
        <v>2</v>
      </c>
      <c r="J26" s="1">
        <v>0</v>
      </c>
    </row>
    <row r="27" spans="1:10" x14ac:dyDescent="0.25">
      <c r="A27" s="2">
        <v>44345</v>
      </c>
      <c r="B27" s="1" t="s">
        <v>49</v>
      </c>
      <c r="C27" s="1" t="s">
        <v>13</v>
      </c>
      <c r="D27" s="1">
        <v>28081</v>
      </c>
      <c r="E27" s="1">
        <v>10017</v>
      </c>
      <c r="F27" s="1">
        <v>175</v>
      </c>
      <c r="G27" s="1">
        <v>0</v>
      </c>
      <c r="H27" s="1">
        <v>0</v>
      </c>
      <c r="I27" s="1">
        <v>5</v>
      </c>
      <c r="J27" s="1">
        <v>1</v>
      </c>
    </row>
    <row r="28" spans="1:10" x14ac:dyDescent="0.25">
      <c r="A28" s="2">
        <v>44337</v>
      </c>
      <c r="B28" s="1" t="s">
        <v>50</v>
      </c>
      <c r="C28" s="1" t="s">
        <v>51</v>
      </c>
      <c r="D28" s="1">
        <v>38015</v>
      </c>
      <c r="E28" s="1">
        <v>15835</v>
      </c>
      <c r="F28" s="1">
        <v>192</v>
      </c>
      <c r="G28" s="1">
        <v>8</v>
      </c>
      <c r="H28" s="1">
        <v>0</v>
      </c>
      <c r="I28" s="1">
        <v>4</v>
      </c>
      <c r="J28" s="1">
        <v>0</v>
      </c>
    </row>
    <row r="29" spans="1:10" x14ac:dyDescent="0.25">
      <c r="A29" s="2">
        <v>44256</v>
      </c>
      <c r="B29" s="1" t="s">
        <v>52</v>
      </c>
      <c r="C29" s="1" t="s">
        <v>17</v>
      </c>
      <c r="D29" s="1">
        <v>55103</v>
      </c>
      <c r="E29" s="1">
        <v>1322</v>
      </c>
      <c r="F29" s="1">
        <v>14</v>
      </c>
      <c r="G29" s="1">
        <v>1</v>
      </c>
      <c r="H29" s="1">
        <v>0</v>
      </c>
      <c r="I29" s="1">
        <v>0</v>
      </c>
      <c r="J29" s="1">
        <v>0</v>
      </c>
    </row>
    <row r="30" spans="1:10" x14ac:dyDescent="0.25">
      <c r="A30" s="2">
        <v>44335</v>
      </c>
      <c r="B30" s="1" t="s">
        <v>53</v>
      </c>
      <c r="C30" s="1" t="s">
        <v>39</v>
      </c>
      <c r="D30" s="1">
        <v>48283</v>
      </c>
      <c r="E30" s="1">
        <v>1051</v>
      </c>
      <c r="F30" s="1">
        <v>28</v>
      </c>
      <c r="G30" s="1">
        <v>1</v>
      </c>
      <c r="H30" s="1">
        <v>0</v>
      </c>
      <c r="I30" s="1">
        <v>2</v>
      </c>
      <c r="J30" s="1">
        <v>0</v>
      </c>
    </row>
    <row r="31" spans="1:10" x14ac:dyDescent="0.25">
      <c r="A31" s="2">
        <v>44545</v>
      </c>
      <c r="B31" s="1" t="s">
        <v>54</v>
      </c>
      <c r="C31" s="1" t="s">
        <v>55</v>
      </c>
      <c r="D31" s="1">
        <v>21163</v>
      </c>
      <c r="E31" s="1">
        <v>3742</v>
      </c>
      <c r="F31" s="1">
        <v>47</v>
      </c>
      <c r="G31" s="1">
        <v>19</v>
      </c>
      <c r="H31" s="1">
        <v>0</v>
      </c>
      <c r="I31" s="1">
        <v>2</v>
      </c>
      <c r="J31" s="1">
        <v>0</v>
      </c>
    </row>
    <row r="32" spans="1:10" x14ac:dyDescent="0.25">
      <c r="A32" s="2">
        <v>44456</v>
      </c>
      <c r="B32" s="1" t="s">
        <v>56</v>
      </c>
      <c r="C32" s="1" t="s">
        <v>55</v>
      </c>
      <c r="D32" s="1">
        <v>21095</v>
      </c>
      <c r="E32" s="1">
        <v>4410</v>
      </c>
      <c r="F32" s="1">
        <v>101</v>
      </c>
      <c r="G32" s="1">
        <v>50</v>
      </c>
      <c r="H32" s="1">
        <v>0</v>
      </c>
      <c r="I32" s="1">
        <v>4</v>
      </c>
      <c r="J32" s="1">
        <v>0</v>
      </c>
    </row>
    <row r="33" spans="1:18" x14ac:dyDescent="0.25">
      <c r="A33" s="2">
        <v>44526</v>
      </c>
      <c r="B33" s="1" t="s">
        <v>57</v>
      </c>
      <c r="C33" s="1" t="s">
        <v>51</v>
      </c>
      <c r="D33" s="1">
        <v>38073</v>
      </c>
      <c r="E33" s="1">
        <v>979</v>
      </c>
      <c r="F33" s="1">
        <v>21</v>
      </c>
      <c r="G33" s="1">
        <v>3</v>
      </c>
      <c r="H33" s="1">
        <v>0</v>
      </c>
      <c r="I33" s="1">
        <v>4</v>
      </c>
      <c r="J33" s="1">
        <v>0</v>
      </c>
    </row>
    <row r="34" spans="1:18" x14ac:dyDescent="0.25">
      <c r="A34" s="2">
        <v>44279</v>
      </c>
      <c r="B34" s="1" t="s">
        <v>58</v>
      </c>
      <c r="C34" s="1" t="s">
        <v>30</v>
      </c>
      <c r="D34" s="1">
        <v>51077</v>
      </c>
      <c r="E34" s="1">
        <v>1192</v>
      </c>
      <c r="F34" s="1">
        <v>31</v>
      </c>
      <c r="G34" s="1">
        <v>4</v>
      </c>
      <c r="H34" s="1">
        <v>0</v>
      </c>
      <c r="I34" s="1">
        <v>2</v>
      </c>
      <c r="J34" s="1">
        <v>0</v>
      </c>
    </row>
    <row r="35" spans="1:18" x14ac:dyDescent="0.25">
      <c r="A35" s="2">
        <v>44491</v>
      </c>
      <c r="B35" s="1" t="s">
        <v>59</v>
      </c>
      <c r="C35" s="1" t="s">
        <v>60</v>
      </c>
      <c r="D35" s="1">
        <v>40047</v>
      </c>
      <c r="E35" s="1">
        <v>10077</v>
      </c>
      <c r="F35" s="1">
        <v>199</v>
      </c>
      <c r="G35" s="1">
        <v>0</v>
      </c>
      <c r="H35" s="1">
        <v>0</v>
      </c>
      <c r="I35" s="1">
        <v>4</v>
      </c>
      <c r="J35" s="1">
        <v>0</v>
      </c>
    </row>
    <row r="36" spans="1:18" x14ac:dyDescent="0.25">
      <c r="A36" s="2">
        <v>44554</v>
      </c>
      <c r="B36" s="1" t="s">
        <v>61</v>
      </c>
      <c r="C36" s="1" t="s">
        <v>27</v>
      </c>
      <c r="D36" s="1">
        <v>27003</v>
      </c>
      <c r="E36" s="1">
        <v>70003</v>
      </c>
      <c r="F36" s="1">
        <v>657</v>
      </c>
      <c r="G36" s="1">
        <v>0</v>
      </c>
      <c r="H36" s="1">
        <v>0</v>
      </c>
      <c r="I36" s="1">
        <v>4</v>
      </c>
      <c r="J36" s="1">
        <v>0</v>
      </c>
    </row>
    <row r="37" spans="1:18" x14ac:dyDescent="0.25">
      <c r="A37" s="2">
        <v>44268</v>
      </c>
      <c r="B37" s="1" t="s">
        <v>62</v>
      </c>
      <c r="C37" s="1" t="s">
        <v>43</v>
      </c>
      <c r="D37" s="1">
        <v>29013</v>
      </c>
      <c r="E37" s="1">
        <v>1291</v>
      </c>
      <c r="F37" s="1">
        <v>24</v>
      </c>
      <c r="G37" s="1">
        <v>0</v>
      </c>
      <c r="H37" s="1">
        <v>0</v>
      </c>
      <c r="I37" s="1">
        <v>5</v>
      </c>
      <c r="J37" s="1">
        <v>1</v>
      </c>
    </row>
    <row r="38" spans="1:18" x14ac:dyDescent="0.25">
      <c r="A38" s="2">
        <v>44499</v>
      </c>
      <c r="B38" s="1" t="s">
        <v>63</v>
      </c>
      <c r="C38" s="1" t="s">
        <v>64</v>
      </c>
      <c r="D38" s="1">
        <v>45069</v>
      </c>
      <c r="E38" s="1">
        <v>4819</v>
      </c>
      <c r="F38" s="1">
        <v>82</v>
      </c>
      <c r="G38" s="1">
        <v>0</v>
      </c>
      <c r="H38" s="1">
        <v>0</v>
      </c>
      <c r="I38" s="1">
        <v>5</v>
      </c>
      <c r="J38" s="1">
        <v>1</v>
      </c>
    </row>
    <row r="39" spans="1:18" x14ac:dyDescent="0.25">
      <c r="A39" s="2">
        <v>44246</v>
      </c>
      <c r="B39" s="1" t="s">
        <v>65</v>
      </c>
      <c r="C39" s="1" t="s">
        <v>55</v>
      </c>
      <c r="D39" s="1">
        <v>21053</v>
      </c>
      <c r="E39" s="1">
        <v>1374</v>
      </c>
      <c r="F39" s="1">
        <v>27</v>
      </c>
      <c r="G39" s="1">
        <v>3</v>
      </c>
      <c r="H39" s="1">
        <v>0</v>
      </c>
      <c r="I39" s="1">
        <v>4</v>
      </c>
      <c r="J39" s="1">
        <v>0</v>
      </c>
    </row>
    <row r="40" spans="1:18" x14ac:dyDescent="0.25">
      <c r="A40" s="2">
        <v>44422</v>
      </c>
      <c r="B40" s="1" t="s">
        <v>66</v>
      </c>
      <c r="C40" s="1" t="s">
        <v>19</v>
      </c>
      <c r="D40" s="1">
        <v>13227</v>
      </c>
      <c r="E40" s="1">
        <v>3961</v>
      </c>
      <c r="F40" s="1">
        <v>81</v>
      </c>
      <c r="G40" s="1">
        <v>0</v>
      </c>
      <c r="H40" s="1">
        <v>0</v>
      </c>
      <c r="I40" s="1">
        <v>5</v>
      </c>
      <c r="J40" s="1">
        <v>1</v>
      </c>
    </row>
    <row r="41" spans="1:18" x14ac:dyDescent="0.25">
      <c r="A41" s="2">
        <v>44368</v>
      </c>
      <c r="B41" s="1" t="s">
        <v>67</v>
      </c>
      <c r="C41" s="1" t="s">
        <v>68</v>
      </c>
      <c r="D41" s="1">
        <v>19123</v>
      </c>
      <c r="E41" s="1">
        <v>2326</v>
      </c>
      <c r="F41" s="1">
        <v>52</v>
      </c>
      <c r="G41" s="1">
        <v>0</v>
      </c>
      <c r="H41" s="1">
        <v>1</v>
      </c>
      <c r="I41" s="1">
        <v>0</v>
      </c>
      <c r="J41" s="1">
        <v>0</v>
      </c>
    </row>
    <row r="42" spans="1:18" x14ac:dyDescent="0.25">
      <c r="A42" s="2">
        <v>44417</v>
      </c>
      <c r="B42" s="1" t="s">
        <v>69</v>
      </c>
      <c r="C42" s="1" t="s">
        <v>70</v>
      </c>
      <c r="D42" s="1">
        <v>12017</v>
      </c>
      <c r="E42" s="1">
        <v>13568</v>
      </c>
      <c r="F42" s="1">
        <v>463</v>
      </c>
      <c r="G42" s="1">
        <v>0</v>
      </c>
      <c r="H42" s="1">
        <v>0</v>
      </c>
      <c r="I42" s="1">
        <v>0</v>
      </c>
      <c r="J42" s="1">
        <v>0</v>
      </c>
    </row>
    <row r="43" spans="1:18" x14ac:dyDescent="0.25">
      <c r="A43" s="2">
        <v>44269</v>
      </c>
      <c r="B43" s="1" t="s">
        <v>71</v>
      </c>
      <c r="C43" s="1" t="s">
        <v>30</v>
      </c>
      <c r="D43" s="1">
        <v>51073</v>
      </c>
      <c r="E43" s="1">
        <v>1958</v>
      </c>
      <c r="F43" s="1">
        <v>46</v>
      </c>
      <c r="G43" s="1">
        <v>3</v>
      </c>
      <c r="H43" s="1">
        <v>0</v>
      </c>
      <c r="I43" s="1">
        <v>6</v>
      </c>
      <c r="J43" s="1">
        <v>1</v>
      </c>
    </row>
    <row r="44" spans="1:18" x14ac:dyDescent="0.25">
      <c r="A44" s="2">
        <v>44485</v>
      </c>
      <c r="B44" s="1" t="s">
        <v>72</v>
      </c>
      <c r="C44" s="1" t="s">
        <v>68</v>
      </c>
      <c r="D44" s="1">
        <v>19197</v>
      </c>
      <c r="E44" s="1">
        <v>2410</v>
      </c>
      <c r="F44" s="1">
        <v>45</v>
      </c>
      <c r="G44" s="1">
        <v>0</v>
      </c>
      <c r="H44" s="1">
        <v>0</v>
      </c>
      <c r="I44" s="1">
        <v>5</v>
      </c>
      <c r="J44" s="1">
        <v>1</v>
      </c>
    </row>
    <row r="45" spans="1:18" x14ac:dyDescent="0.25">
      <c r="A45" s="2">
        <v>44384</v>
      </c>
      <c r="B45" s="1" t="s">
        <v>73</v>
      </c>
      <c r="C45" s="1" t="s">
        <v>74</v>
      </c>
      <c r="D45" s="1">
        <v>30067</v>
      </c>
      <c r="E45" s="1">
        <v>1464</v>
      </c>
      <c r="F45" s="1">
        <v>20</v>
      </c>
      <c r="G45" s="1">
        <v>1</v>
      </c>
      <c r="H45" s="1">
        <v>0</v>
      </c>
      <c r="I45" s="1">
        <v>2</v>
      </c>
      <c r="J45" s="1">
        <v>0</v>
      </c>
    </row>
    <row r="46" spans="1:18" x14ac:dyDescent="0.25">
      <c r="A46" s="2">
        <v>44224</v>
      </c>
      <c r="B46" s="1" t="s">
        <v>75</v>
      </c>
      <c r="C46" s="1" t="s">
        <v>19</v>
      </c>
      <c r="D46" s="1">
        <v>13119</v>
      </c>
      <c r="E46" s="1">
        <v>2321</v>
      </c>
      <c r="F46" s="1">
        <v>33</v>
      </c>
      <c r="G46" s="1">
        <v>16</v>
      </c>
      <c r="H46" s="1">
        <v>0</v>
      </c>
      <c r="I46" s="1">
        <v>3</v>
      </c>
      <c r="J46" s="1">
        <v>0</v>
      </c>
    </row>
    <row r="47" spans="1:18" x14ac:dyDescent="0.25">
      <c r="A47" s="2">
        <v>44225</v>
      </c>
      <c r="B47" s="1" t="s">
        <v>76</v>
      </c>
      <c r="C47" s="1" t="s">
        <v>77</v>
      </c>
      <c r="D47" s="1">
        <v>26115</v>
      </c>
      <c r="E47" s="1">
        <v>9135</v>
      </c>
      <c r="F47" s="1">
        <v>181</v>
      </c>
      <c r="G47" s="1">
        <v>38</v>
      </c>
      <c r="H47" s="1">
        <v>0</v>
      </c>
      <c r="I47" s="1">
        <v>4</v>
      </c>
      <c r="J47" s="1">
        <v>0</v>
      </c>
    </row>
    <row r="48" spans="1:18" x14ac:dyDescent="0.25">
      <c r="A48" s="2">
        <v>44446</v>
      </c>
      <c r="B48" s="1" t="s">
        <v>78</v>
      </c>
      <c r="C48" s="1" t="s">
        <v>79</v>
      </c>
      <c r="D48" s="1">
        <v>4005</v>
      </c>
      <c r="E48" s="1">
        <v>20199</v>
      </c>
      <c r="F48" s="1">
        <v>342</v>
      </c>
      <c r="G48" s="1">
        <v>27</v>
      </c>
      <c r="H48" s="1">
        <v>1</v>
      </c>
      <c r="I48" s="1">
        <v>1</v>
      </c>
      <c r="J48" s="1">
        <v>0</v>
      </c>
      <c r="O48" s="4" t="s">
        <v>201</v>
      </c>
      <c r="P48" s="4"/>
      <c r="Q48" s="4" t="s">
        <v>202</v>
      </c>
      <c r="R48" s="4"/>
    </row>
    <row r="49" spans="1:18" ht="12.75" customHeight="1" x14ac:dyDescent="0.25">
      <c r="A49" s="2">
        <v>44417</v>
      </c>
      <c r="B49" s="1" t="s">
        <v>31</v>
      </c>
      <c r="C49" s="1" t="s">
        <v>32</v>
      </c>
      <c r="D49" s="1">
        <v>35023</v>
      </c>
      <c r="E49" s="1">
        <v>467</v>
      </c>
      <c r="F49" s="1">
        <v>9</v>
      </c>
      <c r="G49" s="1">
        <v>5</v>
      </c>
      <c r="H49" s="1">
        <v>0</v>
      </c>
      <c r="I49" s="1">
        <v>0</v>
      </c>
      <c r="J49" s="1">
        <v>0</v>
      </c>
      <c r="L49" s="3" t="s">
        <v>9</v>
      </c>
      <c r="M49" s="1" t="s">
        <v>184</v>
      </c>
      <c r="O49" s="5"/>
      <c r="P49" s="5"/>
      <c r="Q49" s="5"/>
      <c r="R49" s="5"/>
    </row>
    <row r="50" spans="1:18" x14ac:dyDescent="0.25">
      <c r="A50" s="2">
        <v>44259</v>
      </c>
      <c r="B50" s="1" t="s">
        <v>80</v>
      </c>
      <c r="C50" s="1" t="s">
        <v>77</v>
      </c>
      <c r="D50" s="1">
        <v>26039</v>
      </c>
      <c r="E50" s="1">
        <v>603</v>
      </c>
      <c r="F50" s="1">
        <v>5</v>
      </c>
      <c r="G50" s="1">
        <v>5</v>
      </c>
      <c r="H50" s="1">
        <v>0</v>
      </c>
      <c r="I50" s="1">
        <v>3</v>
      </c>
      <c r="J50" s="1">
        <v>0</v>
      </c>
      <c r="L50" s="1" t="s">
        <v>185</v>
      </c>
      <c r="M50" s="1">
        <f>AVERAGEIF(J2:J151,0,G2:G151)</f>
        <v>57.72072072072072</v>
      </c>
      <c r="O50" s="5" t="s">
        <v>188</v>
      </c>
      <c r="P50" s="5">
        <v>44.93333333333333</v>
      </c>
      <c r="Q50" s="5" t="s">
        <v>188</v>
      </c>
      <c r="R50" s="5">
        <v>0.42</v>
      </c>
    </row>
    <row r="51" spans="1:18" x14ac:dyDescent="0.25">
      <c r="A51" s="2">
        <v>44440</v>
      </c>
      <c r="B51" s="1" t="s">
        <v>81</v>
      </c>
      <c r="C51" s="1" t="s">
        <v>82</v>
      </c>
      <c r="D51" s="1">
        <v>46109</v>
      </c>
      <c r="E51" s="1">
        <v>1438</v>
      </c>
      <c r="F51" s="1">
        <v>43</v>
      </c>
      <c r="G51" s="1">
        <v>1</v>
      </c>
      <c r="H51" s="1">
        <v>0</v>
      </c>
      <c r="I51" s="1">
        <v>2</v>
      </c>
      <c r="J51" s="1">
        <v>0</v>
      </c>
      <c r="L51" s="1" t="s">
        <v>186</v>
      </c>
      <c r="M51" s="1">
        <f>AVERAGEIF(J2:J151,1,G2:G151)</f>
        <v>8.5384615384615383</v>
      </c>
      <c r="O51" s="5" t="s">
        <v>189</v>
      </c>
      <c r="P51" s="5">
        <v>23.070235463795317</v>
      </c>
      <c r="Q51" s="5" t="s">
        <v>189</v>
      </c>
      <c r="R51" s="5">
        <v>0.1046010851980442</v>
      </c>
    </row>
    <row r="52" spans="1:18" x14ac:dyDescent="0.25">
      <c r="A52" s="2">
        <v>44373</v>
      </c>
      <c r="B52" s="1" t="s">
        <v>83</v>
      </c>
      <c r="C52" s="1" t="s">
        <v>17</v>
      </c>
      <c r="D52" s="1">
        <v>55101</v>
      </c>
      <c r="E52" s="1">
        <v>25332</v>
      </c>
      <c r="F52" s="1">
        <v>396</v>
      </c>
      <c r="G52" s="1">
        <v>0</v>
      </c>
      <c r="H52" s="1">
        <v>0</v>
      </c>
      <c r="I52" s="1">
        <v>5</v>
      </c>
      <c r="J52" s="1">
        <v>1</v>
      </c>
      <c r="O52" s="5" t="s">
        <v>190</v>
      </c>
      <c r="P52" s="5">
        <v>3</v>
      </c>
      <c r="Q52" s="5" t="s">
        <v>190</v>
      </c>
      <c r="R52" s="5">
        <v>0</v>
      </c>
    </row>
    <row r="53" spans="1:18" x14ac:dyDescent="0.25">
      <c r="A53" s="2">
        <v>44308</v>
      </c>
      <c r="B53" s="1" t="s">
        <v>84</v>
      </c>
      <c r="C53" s="1" t="s">
        <v>39</v>
      </c>
      <c r="D53" s="1">
        <v>48009</v>
      </c>
      <c r="E53" s="1">
        <v>795</v>
      </c>
      <c r="F53" s="1">
        <v>12</v>
      </c>
      <c r="G53" s="1">
        <v>0</v>
      </c>
      <c r="H53" s="1">
        <v>0</v>
      </c>
      <c r="I53" s="1">
        <v>3</v>
      </c>
      <c r="J53" s="1">
        <v>0</v>
      </c>
      <c r="O53" s="5" t="s">
        <v>191</v>
      </c>
      <c r="P53" s="5">
        <v>0</v>
      </c>
      <c r="Q53" s="5" t="s">
        <v>191</v>
      </c>
      <c r="R53" s="5">
        <v>0</v>
      </c>
    </row>
    <row r="54" spans="1:18" x14ac:dyDescent="0.25">
      <c r="A54" s="2">
        <v>44352</v>
      </c>
      <c r="B54" s="1" t="s">
        <v>85</v>
      </c>
      <c r="C54" s="1" t="s">
        <v>21</v>
      </c>
      <c r="D54" s="1">
        <v>53067</v>
      </c>
      <c r="E54" s="1">
        <v>10501</v>
      </c>
      <c r="F54" s="1">
        <v>108</v>
      </c>
      <c r="G54" s="1">
        <v>25</v>
      </c>
      <c r="H54" s="1">
        <v>0</v>
      </c>
      <c r="I54" s="1">
        <v>5</v>
      </c>
      <c r="J54" s="1">
        <v>1</v>
      </c>
      <c r="L54" s="1" t="s">
        <v>187</v>
      </c>
      <c r="M54" s="1">
        <f>AVERAGE(G$2:G$151)</f>
        <v>44.93333333333333</v>
      </c>
      <c r="O54" s="5" t="s">
        <v>192</v>
      </c>
      <c r="P54" s="5">
        <v>282.5515256607967</v>
      </c>
      <c r="Q54" s="5" t="s">
        <v>192</v>
      </c>
      <c r="R54" s="5">
        <v>1.2810964263829929</v>
      </c>
    </row>
    <row r="55" spans="1:18" x14ac:dyDescent="0.25">
      <c r="A55" s="2">
        <v>44405</v>
      </c>
      <c r="B55" s="1" t="s">
        <v>86</v>
      </c>
      <c r="C55" s="1" t="s">
        <v>25</v>
      </c>
      <c r="D55" s="1">
        <v>20073</v>
      </c>
      <c r="E55" s="1">
        <v>615</v>
      </c>
      <c r="F55" s="1">
        <v>11</v>
      </c>
      <c r="G55" s="1">
        <v>13</v>
      </c>
      <c r="H55" s="1">
        <v>0</v>
      </c>
      <c r="I55" s="1">
        <v>2</v>
      </c>
      <c r="J55" s="1">
        <v>0</v>
      </c>
      <c r="O55" s="5" t="s">
        <v>193</v>
      </c>
      <c r="P55" s="5">
        <v>79835.364653243858</v>
      </c>
      <c r="Q55" s="5" t="s">
        <v>193</v>
      </c>
      <c r="R55" s="5">
        <v>1.6412080536912752</v>
      </c>
    </row>
    <row r="56" spans="1:18" x14ac:dyDescent="0.25">
      <c r="A56" s="2">
        <v>44320</v>
      </c>
      <c r="B56" s="1" t="s">
        <v>87</v>
      </c>
      <c r="C56" s="1" t="s">
        <v>30</v>
      </c>
      <c r="D56" s="1">
        <v>51670</v>
      </c>
      <c r="E56" s="1">
        <v>2564</v>
      </c>
      <c r="F56" s="1">
        <v>71</v>
      </c>
      <c r="G56" s="1">
        <v>3</v>
      </c>
      <c r="H56" s="1">
        <v>0</v>
      </c>
      <c r="I56" s="1">
        <v>1</v>
      </c>
      <c r="J56" s="1">
        <v>0</v>
      </c>
      <c r="O56" s="5" t="s">
        <v>194</v>
      </c>
      <c r="P56" s="5">
        <v>136.90391725531512</v>
      </c>
      <c r="Q56" s="5" t="s">
        <v>194</v>
      </c>
      <c r="R56" s="5">
        <v>14.689879200481542</v>
      </c>
    </row>
    <row r="57" spans="1:18" x14ac:dyDescent="0.25">
      <c r="A57" s="2">
        <v>44346</v>
      </c>
      <c r="B57" s="1" t="s">
        <v>88</v>
      </c>
      <c r="C57" s="1" t="s">
        <v>89</v>
      </c>
      <c r="D57" s="1">
        <v>54029</v>
      </c>
      <c r="E57" s="1">
        <v>2835</v>
      </c>
      <c r="F57" s="1">
        <v>89</v>
      </c>
      <c r="G57" s="1">
        <v>0</v>
      </c>
      <c r="H57" s="1">
        <v>0</v>
      </c>
      <c r="I57" s="1">
        <v>6</v>
      </c>
      <c r="J57" s="1">
        <v>1</v>
      </c>
      <c r="O57" s="5" t="s">
        <v>195</v>
      </c>
      <c r="P57" s="5">
        <v>11.489470384326845</v>
      </c>
      <c r="Q57" s="5" t="s">
        <v>195</v>
      </c>
      <c r="R57" s="5">
        <v>3.7520475929111261</v>
      </c>
    </row>
    <row r="58" spans="1:18" x14ac:dyDescent="0.25">
      <c r="A58" s="2">
        <v>44417</v>
      </c>
      <c r="B58" s="1" t="s">
        <v>90</v>
      </c>
      <c r="C58" s="1" t="s">
        <v>39</v>
      </c>
      <c r="D58" s="1">
        <v>48143</v>
      </c>
      <c r="E58" s="1">
        <v>4590</v>
      </c>
      <c r="F58" s="1">
        <v>71</v>
      </c>
      <c r="G58" s="1">
        <v>0</v>
      </c>
      <c r="H58" s="1">
        <v>0</v>
      </c>
      <c r="I58" s="1">
        <v>0</v>
      </c>
      <c r="J58" s="1">
        <v>0</v>
      </c>
      <c r="O58" s="5" t="s">
        <v>196</v>
      </c>
      <c r="P58" s="5">
        <v>3406</v>
      </c>
      <c r="Q58" s="5" t="s">
        <v>196</v>
      </c>
      <c r="R58" s="5">
        <v>8</v>
      </c>
    </row>
    <row r="59" spans="1:18" x14ac:dyDescent="0.25">
      <c r="A59" s="2">
        <v>44295</v>
      </c>
      <c r="B59" s="1" t="s">
        <v>91</v>
      </c>
      <c r="C59" s="1" t="s">
        <v>79</v>
      </c>
      <c r="D59" s="1">
        <v>4011</v>
      </c>
      <c r="E59" s="1">
        <v>567</v>
      </c>
      <c r="F59" s="1">
        <v>10</v>
      </c>
      <c r="G59" s="1">
        <v>0</v>
      </c>
      <c r="H59" s="1">
        <v>0</v>
      </c>
      <c r="I59" s="1">
        <v>4</v>
      </c>
      <c r="J59" s="1">
        <v>0</v>
      </c>
      <c r="O59" s="5" t="s">
        <v>197</v>
      </c>
      <c r="P59" s="5">
        <v>0</v>
      </c>
      <c r="Q59" s="5" t="s">
        <v>197</v>
      </c>
      <c r="R59" s="5">
        <v>0</v>
      </c>
    </row>
    <row r="60" spans="1:18" x14ac:dyDescent="0.25">
      <c r="A60" s="2">
        <v>44408</v>
      </c>
      <c r="B60" s="1" t="s">
        <v>92</v>
      </c>
      <c r="C60" s="1" t="s">
        <v>13</v>
      </c>
      <c r="D60" s="1">
        <v>28117</v>
      </c>
      <c r="E60" s="1">
        <v>2988</v>
      </c>
      <c r="F60" s="1">
        <v>63</v>
      </c>
      <c r="G60" s="1">
        <v>0</v>
      </c>
      <c r="H60" s="1">
        <v>0</v>
      </c>
      <c r="I60" s="1">
        <v>5</v>
      </c>
      <c r="J60" s="1">
        <v>1</v>
      </c>
      <c r="O60" s="5" t="s">
        <v>198</v>
      </c>
      <c r="P60" s="5">
        <v>3406</v>
      </c>
      <c r="Q60" s="5" t="s">
        <v>198</v>
      </c>
      <c r="R60" s="5">
        <v>8</v>
      </c>
    </row>
    <row r="61" spans="1:18" x14ac:dyDescent="0.25">
      <c r="A61" s="2">
        <v>44246</v>
      </c>
      <c r="B61" s="1" t="s">
        <v>93</v>
      </c>
      <c r="C61" s="1" t="s">
        <v>43</v>
      </c>
      <c r="D61" s="1">
        <v>29105</v>
      </c>
      <c r="E61" s="1">
        <v>2907</v>
      </c>
      <c r="F61" s="1">
        <v>64</v>
      </c>
      <c r="G61" s="1">
        <v>2</v>
      </c>
      <c r="H61" s="1">
        <v>0</v>
      </c>
      <c r="I61" s="1">
        <v>4</v>
      </c>
      <c r="J61" s="1">
        <v>0</v>
      </c>
      <c r="O61" s="5" t="s">
        <v>199</v>
      </c>
      <c r="P61" s="5">
        <v>6740</v>
      </c>
      <c r="Q61" s="5" t="s">
        <v>199</v>
      </c>
      <c r="R61" s="5">
        <v>63</v>
      </c>
    </row>
    <row r="62" spans="1:18" x14ac:dyDescent="0.25">
      <c r="A62" s="2">
        <v>44450</v>
      </c>
      <c r="B62" s="1" t="s">
        <v>94</v>
      </c>
      <c r="C62" s="1" t="s">
        <v>60</v>
      </c>
      <c r="D62" s="1">
        <v>40019</v>
      </c>
      <c r="E62" s="1">
        <v>7976</v>
      </c>
      <c r="F62" s="1">
        <v>138</v>
      </c>
      <c r="G62" s="1">
        <v>0</v>
      </c>
      <c r="H62" s="1">
        <v>0</v>
      </c>
      <c r="I62" s="1">
        <v>5</v>
      </c>
      <c r="J62" s="1">
        <v>1</v>
      </c>
      <c r="O62" s="5" t="s">
        <v>200</v>
      </c>
      <c r="P62" s="5">
        <v>150</v>
      </c>
      <c r="Q62" s="5" t="s">
        <v>200</v>
      </c>
      <c r="R62" s="5">
        <v>150</v>
      </c>
    </row>
    <row r="63" spans="1:18" x14ac:dyDescent="0.25">
      <c r="A63" s="2">
        <v>44489</v>
      </c>
      <c r="B63" s="1" t="s">
        <v>95</v>
      </c>
      <c r="C63" s="1" t="s">
        <v>96</v>
      </c>
      <c r="D63" s="1">
        <v>17161</v>
      </c>
      <c r="E63" s="1">
        <v>18854</v>
      </c>
      <c r="F63" s="1">
        <v>404</v>
      </c>
      <c r="G63" s="1">
        <v>39</v>
      </c>
      <c r="H63" s="1">
        <v>1</v>
      </c>
      <c r="I63" s="1">
        <v>2</v>
      </c>
      <c r="J63" s="1">
        <v>0</v>
      </c>
      <c r="O63" s="1"/>
      <c r="P63" s="1">
        <v>0</v>
      </c>
      <c r="Q63" s="1"/>
      <c r="R63" s="1">
        <v>0</v>
      </c>
    </row>
    <row r="64" spans="1:18" x14ac:dyDescent="0.25">
      <c r="A64" s="2">
        <v>44250</v>
      </c>
      <c r="B64" s="1" t="s">
        <v>97</v>
      </c>
      <c r="C64" s="1" t="s">
        <v>30</v>
      </c>
      <c r="D64" s="1">
        <v>51830</v>
      </c>
      <c r="E64" s="1">
        <v>514</v>
      </c>
      <c r="F64" s="1">
        <v>9</v>
      </c>
      <c r="G64" s="1">
        <v>7</v>
      </c>
      <c r="H64" s="1">
        <v>0</v>
      </c>
      <c r="I64" s="1">
        <v>1</v>
      </c>
      <c r="J64" s="1">
        <v>0</v>
      </c>
    </row>
    <row r="65" spans="1:10" x14ac:dyDescent="0.25">
      <c r="A65" s="2">
        <v>44210</v>
      </c>
      <c r="B65" s="1" t="s">
        <v>98</v>
      </c>
      <c r="C65" s="1" t="s">
        <v>99</v>
      </c>
      <c r="D65" s="1">
        <v>50013</v>
      </c>
      <c r="E65" s="1">
        <v>75</v>
      </c>
      <c r="F65" s="1">
        <v>0</v>
      </c>
      <c r="G65" s="1">
        <v>2</v>
      </c>
      <c r="H65" s="1">
        <v>0</v>
      </c>
      <c r="I65" s="1">
        <v>3</v>
      </c>
      <c r="J65" s="1">
        <v>0</v>
      </c>
    </row>
    <row r="66" spans="1:10" x14ac:dyDescent="0.25">
      <c r="A66" s="2">
        <v>44343</v>
      </c>
      <c r="B66" s="1" t="s">
        <v>100</v>
      </c>
      <c r="C66" s="1" t="s">
        <v>70</v>
      </c>
      <c r="D66" s="1">
        <v>12089</v>
      </c>
      <c r="E66" s="1">
        <v>8601</v>
      </c>
      <c r="F66" s="1">
        <v>126</v>
      </c>
      <c r="G66" s="1">
        <v>14</v>
      </c>
      <c r="H66" s="1">
        <v>0</v>
      </c>
      <c r="I66" s="1">
        <v>3</v>
      </c>
      <c r="J66" s="1">
        <v>0</v>
      </c>
    </row>
    <row r="67" spans="1:10" x14ac:dyDescent="0.25">
      <c r="A67" s="2">
        <v>44475</v>
      </c>
      <c r="B67" s="1" t="s">
        <v>101</v>
      </c>
      <c r="C67" s="1" t="s">
        <v>25</v>
      </c>
      <c r="D67" s="1">
        <v>20173</v>
      </c>
      <c r="E67" s="1">
        <v>77798</v>
      </c>
      <c r="F67" s="1">
        <v>944</v>
      </c>
      <c r="G67" s="1">
        <v>517</v>
      </c>
      <c r="H67" s="1">
        <v>8</v>
      </c>
      <c r="I67" s="1">
        <v>2</v>
      </c>
      <c r="J67" s="1">
        <v>0</v>
      </c>
    </row>
    <row r="68" spans="1:10" x14ac:dyDescent="0.25">
      <c r="A68" s="2">
        <v>44213</v>
      </c>
      <c r="B68" s="1" t="s">
        <v>102</v>
      </c>
      <c r="C68" s="1" t="s">
        <v>103</v>
      </c>
      <c r="D68" s="1">
        <v>36089</v>
      </c>
      <c r="E68" s="1">
        <v>3496</v>
      </c>
      <c r="F68" s="1">
        <v>56</v>
      </c>
      <c r="G68" s="1">
        <v>59</v>
      </c>
      <c r="H68" s="1">
        <v>0</v>
      </c>
      <c r="I68" s="1">
        <v>6</v>
      </c>
      <c r="J68" s="1">
        <v>1</v>
      </c>
    </row>
    <row r="69" spans="1:10" x14ac:dyDescent="0.25">
      <c r="A69" s="2">
        <v>44315</v>
      </c>
      <c r="B69" s="1" t="s">
        <v>104</v>
      </c>
      <c r="C69" s="1" t="s">
        <v>105</v>
      </c>
      <c r="D69" s="1">
        <v>1009</v>
      </c>
      <c r="E69" s="1">
        <v>6607</v>
      </c>
      <c r="F69" s="1">
        <v>135</v>
      </c>
      <c r="G69" s="1">
        <v>12</v>
      </c>
      <c r="H69" s="1">
        <v>1</v>
      </c>
      <c r="I69" s="1">
        <v>3</v>
      </c>
      <c r="J69" s="1">
        <v>0</v>
      </c>
    </row>
    <row r="70" spans="1:10" x14ac:dyDescent="0.25">
      <c r="A70" s="2">
        <v>44514</v>
      </c>
      <c r="B70" s="1" t="s">
        <v>106</v>
      </c>
      <c r="C70" s="1" t="s">
        <v>107</v>
      </c>
      <c r="D70" s="1">
        <v>39005</v>
      </c>
      <c r="E70" s="1">
        <v>7393</v>
      </c>
      <c r="F70" s="1">
        <v>146</v>
      </c>
      <c r="G70" s="1">
        <v>16</v>
      </c>
      <c r="H70" s="1">
        <v>0</v>
      </c>
      <c r="I70" s="1">
        <v>6</v>
      </c>
      <c r="J70" s="1">
        <v>1</v>
      </c>
    </row>
    <row r="71" spans="1:10" x14ac:dyDescent="0.25">
      <c r="A71" s="2">
        <v>44454</v>
      </c>
      <c r="B71" s="1" t="s">
        <v>21</v>
      </c>
      <c r="C71" s="1" t="s">
        <v>13</v>
      </c>
      <c r="D71" s="1">
        <v>28151</v>
      </c>
      <c r="E71" s="1">
        <v>6756</v>
      </c>
      <c r="F71" s="1">
        <v>146</v>
      </c>
      <c r="G71" s="1">
        <v>97</v>
      </c>
      <c r="H71" s="1">
        <v>0</v>
      </c>
      <c r="I71" s="1">
        <v>2</v>
      </c>
      <c r="J71" s="1">
        <v>0</v>
      </c>
    </row>
    <row r="72" spans="1:10" x14ac:dyDescent="0.25">
      <c r="A72" s="2">
        <v>44241</v>
      </c>
      <c r="B72" s="1" t="s">
        <v>108</v>
      </c>
      <c r="C72" s="1" t="s">
        <v>11</v>
      </c>
      <c r="D72" s="1">
        <v>37179</v>
      </c>
      <c r="E72" s="1">
        <v>19733</v>
      </c>
      <c r="F72" s="1">
        <v>184</v>
      </c>
      <c r="G72" s="1">
        <v>75</v>
      </c>
      <c r="H72" s="1">
        <v>5</v>
      </c>
      <c r="I72" s="1">
        <v>6</v>
      </c>
      <c r="J72" s="1">
        <v>1</v>
      </c>
    </row>
    <row r="73" spans="1:10" x14ac:dyDescent="0.25">
      <c r="A73" s="2">
        <v>44425</v>
      </c>
      <c r="B73" s="1" t="s">
        <v>109</v>
      </c>
      <c r="C73" s="1" t="s">
        <v>110</v>
      </c>
      <c r="D73" s="1">
        <v>18103</v>
      </c>
      <c r="E73" s="1">
        <v>4367</v>
      </c>
      <c r="F73" s="1">
        <v>75</v>
      </c>
      <c r="G73" s="1">
        <v>19</v>
      </c>
      <c r="H73" s="1">
        <v>1</v>
      </c>
      <c r="I73" s="1">
        <v>1</v>
      </c>
      <c r="J73" s="1">
        <v>0</v>
      </c>
    </row>
    <row r="74" spans="1:10" x14ac:dyDescent="0.25">
      <c r="A74" s="2">
        <v>44545</v>
      </c>
      <c r="B74" s="1" t="s">
        <v>88</v>
      </c>
      <c r="C74" s="1" t="s">
        <v>89</v>
      </c>
      <c r="D74" s="1">
        <v>54029</v>
      </c>
      <c r="E74" s="1">
        <v>4820</v>
      </c>
      <c r="F74" s="1">
        <v>122</v>
      </c>
      <c r="G74" s="1">
        <v>25</v>
      </c>
      <c r="H74" s="1">
        <v>0</v>
      </c>
      <c r="I74" s="1">
        <v>2</v>
      </c>
      <c r="J74" s="1">
        <v>0</v>
      </c>
    </row>
    <row r="75" spans="1:10" x14ac:dyDescent="0.25">
      <c r="A75" s="2">
        <v>44300</v>
      </c>
      <c r="B75" s="1" t="s">
        <v>111</v>
      </c>
      <c r="C75" s="1" t="s">
        <v>39</v>
      </c>
      <c r="D75" s="1">
        <v>48041</v>
      </c>
      <c r="E75" s="1">
        <v>25646</v>
      </c>
      <c r="F75" s="1">
        <v>243</v>
      </c>
      <c r="G75" s="1">
        <v>4</v>
      </c>
      <c r="H75" s="1">
        <v>0</v>
      </c>
      <c r="I75" s="1">
        <v>2</v>
      </c>
      <c r="J75" s="1">
        <v>0</v>
      </c>
    </row>
    <row r="76" spans="1:10" x14ac:dyDescent="0.25">
      <c r="A76" s="2">
        <v>44476</v>
      </c>
      <c r="B76" s="1" t="s">
        <v>112</v>
      </c>
      <c r="C76" s="1" t="s">
        <v>17</v>
      </c>
      <c r="D76" s="1">
        <v>55111</v>
      </c>
      <c r="E76" s="1">
        <v>7849</v>
      </c>
      <c r="F76" s="1">
        <v>63</v>
      </c>
      <c r="G76" s="1">
        <v>43</v>
      </c>
      <c r="H76" s="1">
        <v>0</v>
      </c>
      <c r="I76" s="1">
        <v>3</v>
      </c>
      <c r="J76" s="1">
        <v>0</v>
      </c>
    </row>
    <row r="77" spans="1:10" x14ac:dyDescent="0.25">
      <c r="A77" s="2">
        <v>44482</v>
      </c>
      <c r="B77" s="1" t="s">
        <v>113</v>
      </c>
      <c r="C77" s="1" t="s">
        <v>39</v>
      </c>
      <c r="D77" s="1">
        <v>48245</v>
      </c>
      <c r="E77" s="1">
        <v>31305</v>
      </c>
      <c r="F77" s="1">
        <v>662</v>
      </c>
      <c r="G77" s="1">
        <v>38</v>
      </c>
      <c r="H77" s="1">
        <v>5</v>
      </c>
      <c r="I77" s="1">
        <v>2</v>
      </c>
      <c r="J77" s="1">
        <v>0</v>
      </c>
    </row>
    <row r="78" spans="1:10" x14ac:dyDescent="0.25">
      <c r="A78" s="2">
        <v>44372</v>
      </c>
      <c r="B78" s="1" t="s">
        <v>114</v>
      </c>
      <c r="C78" s="1" t="s">
        <v>60</v>
      </c>
      <c r="D78" s="1">
        <v>40083</v>
      </c>
      <c r="E78" s="1">
        <v>4314</v>
      </c>
      <c r="F78" s="1">
        <v>65</v>
      </c>
      <c r="G78" s="1">
        <v>0</v>
      </c>
      <c r="H78" s="1">
        <v>0</v>
      </c>
      <c r="I78" s="1">
        <v>4</v>
      </c>
      <c r="J78" s="1">
        <v>0</v>
      </c>
    </row>
    <row r="79" spans="1:10" x14ac:dyDescent="0.25">
      <c r="A79" s="2">
        <v>44362</v>
      </c>
      <c r="B79" s="1" t="s">
        <v>115</v>
      </c>
      <c r="C79" s="1" t="s">
        <v>74</v>
      </c>
      <c r="D79" s="1">
        <v>30085</v>
      </c>
      <c r="E79" s="1">
        <v>1668</v>
      </c>
      <c r="F79" s="1">
        <v>55</v>
      </c>
      <c r="G79" s="1">
        <v>1</v>
      </c>
      <c r="H79" s="1">
        <v>0</v>
      </c>
      <c r="I79" s="1">
        <v>1</v>
      </c>
      <c r="J79" s="1">
        <v>0</v>
      </c>
    </row>
    <row r="80" spans="1:10" x14ac:dyDescent="0.25">
      <c r="A80" s="2">
        <v>44355</v>
      </c>
      <c r="B80" s="1" t="s">
        <v>116</v>
      </c>
      <c r="C80" s="1" t="s">
        <v>117</v>
      </c>
      <c r="D80" s="1">
        <v>42107</v>
      </c>
      <c r="E80" s="1">
        <v>14754</v>
      </c>
      <c r="F80" s="1">
        <v>408</v>
      </c>
      <c r="G80" s="1">
        <v>3</v>
      </c>
      <c r="H80" s="1">
        <v>0</v>
      </c>
      <c r="I80" s="1">
        <v>1</v>
      </c>
      <c r="J80" s="1">
        <v>0</v>
      </c>
    </row>
    <row r="81" spans="1:10" x14ac:dyDescent="0.25">
      <c r="A81" s="2">
        <v>44436</v>
      </c>
      <c r="B81" s="1" t="s">
        <v>118</v>
      </c>
      <c r="C81" s="1" t="s">
        <v>30</v>
      </c>
      <c r="D81" s="1">
        <v>51065</v>
      </c>
      <c r="E81" s="1">
        <v>2088</v>
      </c>
      <c r="F81" s="1">
        <v>22</v>
      </c>
      <c r="G81" s="1">
        <v>0</v>
      </c>
      <c r="H81" s="1">
        <v>0</v>
      </c>
      <c r="I81" s="1">
        <v>5</v>
      </c>
      <c r="J81" s="1">
        <v>1</v>
      </c>
    </row>
    <row r="82" spans="1:10" x14ac:dyDescent="0.25">
      <c r="A82" s="2">
        <v>44523</v>
      </c>
      <c r="B82" s="1" t="s">
        <v>21</v>
      </c>
      <c r="C82" s="1" t="s">
        <v>13</v>
      </c>
      <c r="D82" s="1">
        <v>28151</v>
      </c>
      <c r="E82" s="1">
        <v>7549</v>
      </c>
      <c r="F82" s="1">
        <v>168</v>
      </c>
      <c r="G82" s="1">
        <v>0</v>
      </c>
      <c r="H82" s="1">
        <v>0</v>
      </c>
      <c r="I82" s="1">
        <v>1</v>
      </c>
      <c r="J82" s="1">
        <v>0</v>
      </c>
    </row>
    <row r="83" spans="1:10" x14ac:dyDescent="0.25">
      <c r="A83" s="2">
        <v>44276</v>
      </c>
      <c r="B83" s="1" t="s">
        <v>119</v>
      </c>
      <c r="C83" s="1" t="s">
        <v>120</v>
      </c>
      <c r="D83" s="1">
        <v>8039</v>
      </c>
      <c r="E83" s="1">
        <v>1375</v>
      </c>
      <c r="F83" s="1">
        <v>12</v>
      </c>
      <c r="G83" s="1">
        <v>7</v>
      </c>
      <c r="H83" s="1">
        <v>0</v>
      </c>
      <c r="I83" s="1">
        <v>6</v>
      </c>
      <c r="J83" s="1">
        <v>1</v>
      </c>
    </row>
    <row r="84" spans="1:10" x14ac:dyDescent="0.25">
      <c r="A84" s="2">
        <v>44557</v>
      </c>
      <c r="B84" s="1" t="s">
        <v>121</v>
      </c>
      <c r="C84" s="1" t="s">
        <v>117</v>
      </c>
      <c r="D84" s="1">
        <v>42059</v>
      </c>
      <c r="E84" s="1">
        <v>6241</v>
      </c>
      <c r="F84" s="1">
        <v>78</v>
      </c>
      <c r="G84" s="1">
        <v>3</v>
      </c>
      <c r="H84" s="1">
        <v>0</v>
      </c>
      <c r="I84" s="1">
        <v>0</v>
      </c>
      <c r="J84" s="1">
        <v>0</v>
      </c>
    </row>
    <row r="85" spans="1:10" x14ac:dyDescent="0.25">
      <c r="A85" s="2">
        <v>44478</v>
      </c>
      <c r="B85" s="1" t="s">
        <v>122</v>
      </c>
      <c r="C85" s="1" t="s">
        <v>19</v>
      </c>
      <c r="D85" s="1">
        <v>13083</v>
      </c>
      <c r="E85" s="1">
        <v>2113</v>
      </c>
      <c r="F85" s="1">
        <v>19</v>
      </c>
      <c r="G85" s="1">
        <v>0</v>
      </c>
      <c r="H85" s="1">
        <v>0</v>
      </c>
      <c r="I85" s="1">
        <v>5</v>
      </c>
      <c r="J85" s="1">
        <v>1</v>
      </c>
    </row>
    <row r="86" spans="1:10" x14ac:dyDescent="0.25">
      <c r="A86" s="2">
        <v>44224</v>
      </c>
      <c r="B86" s="1" t="s">
        <v>21</v>
      </c>
      <c r="C86" s="1" t="s">
        <v>42</v>
      </c>
      <c r="D86" s="1">
        <v>41067</v>
      </c>
      <c r="E86" s="1">
        <v>19550</v>
      </c>
      <c r="F86" s="1">
        <v>185</v>
      </c>
      <c r="G86" s="1">
        <v>74</v>
      </c>
      <c r="H86" s="1">
        <v>0</v>
      </c>
      <c r="I86" s="1">
        <v>3</v>
      </c>
      <c r="J86" s="1">
        <v>0</v>
      </c>
    </row>
    <row r="87" spans="1:10" x14ac:dyDescent="0.25">
      <c r="A87" s="2">
        <v>44451</v>
      </c>
      <c r="B87" s="1" t="s">
        <v>123</v>
      </c>
      <c r="C87" s="1" t="s">
        <v>17</v>
      </c>
      <c r="D87" s="1">
        <v>55069</v>
      </c>
      <c r="E87" s="1">
        <v>3603</v>
      </c>
      <c r="F87" s="1">
        <v>103</v>
      </c>
      <c r="G87" s="1">
        <v>0</v>
      </c>
      <c r="H87" s="1">
        <v>0</v>
      </c>
      <c r="I87" s="1">
        <v>6</v>
      </c>
      <c r="J87" s="1">
        <v>1</v>
      </c>
    </row>
    <row r="88" spans="1:10" x14ac:dyDescent="0.25">
      <c r="A88" s="2">
        <v>44475</v>
      </c>
      <c r="B88" s="1" t="s">
        <v>124</v>
      </c>
      <c r="C88" s="1" t="s">
        <v>74</v>
      </c>
      <c r="D88" s="1">
        <v>30105</v>
      </c>
      <c r="E88" s="1">
        <v>1113</v>
      </c>
      <c r="F88" s="1">
        <v>22</v>
      </c>
      <c r="G88" s="1">
        <v>17</v>
      </c>
      <c r="H88" s="1">
        <v>0</v>
      </c>
      <c r="I88" s="1">
        <v>2</v>
      </c>
      <c r="J88" s="1">
        <v>0</v>
      </c>
    </row>
    <row r="89" spans="1:10" x14ac:dyDescent="0.25">
      <c r="A89" s="2">
        <v>44361</v>
      </c>
      <c r="B89" s="1" t="s">
        <v>125</v>
      </c>
      <c r="C89" s="1" t="s">
        <v>43</v>
      </c>
      <c r="D89" s="1">
        <v>29061</v>
      </c>
      <c r="E89" s="1">
        <v>732</v>
      </c>
      <c r="F89" s="1">
        <v>11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5">
      <c r="A90" s="2">
        <v>44439</v>
      </c>
      <c r="B90" s="1" t="s">
        <v>126</v>
      </c>
      <c r="C90" s="1" t="s">
        <v>60</v>
      </c>
      <c r="D90" s="1">
        <v>40131</v>
      </c>
      <c r="E90" s="1">
        <v>13103</v>
      </c>
      <c r="F90" s="1">
        <v>205</v>
      </c>
      <c r="G90" s="1">
        <v>0</v>
      </c>
      <c r="H90" s="1">
        <v>0</v>
      </c>
      <c r="I90" s="1">
        <v>1</v>
      </c>
      <c r="J90" s="1">
        <v>0</v>
      </c>
    </row>
    <row r="91" spans="1:10" x14ac:dyDescent="0.25">
      <c r="A91" s="2">
        <v>44397</v>
      </c>
      <c r="B91" s="1" t="s">
        <v>127</v>
      </c>
      <c r="C91" s="1" t="s">
        <v>30</v>
      </c>
      <c r="D91" s="1">
        <v>51127</v>
      </c>
      <c r="E91" s="1">
        <v>1537</v>
      </c>
      <c r="F91" s="1">
        <v>19</v>
      </c>
      <c r="G91" s="1">
        <v>1</v>
      </c>
      <c r="H91" s="1">
        <v>0</v>
      </c>
      <c r="I91" s="1">
        <v>1</v>
      </c>
      <c r="J91" s="1">
        <v>0</v>
      </c>
    </row>
    <row r="92" spans="1:10" x14ac:dyDescent="0.25">
      <c r="A92" s="2">
        <v>44395</v>
      </c>
      <c r="B92" s="1" t="s">
        <v>128</v>
      </c>
      <c r="C92" s="1" t="s">
        <v>43</v>
      </c>
      <c r="D92" s="1">
        <v>29043</v>
      </c>
      <c r="E92" s="1">
        <v>10676</v>
      </c>
      <c r="F92" s="1">
        <v>99</v>
      </c>
      <c r="G92" s="1">
        <v>0</v>
      </c>
      <c r="H92" s="1">
        <v>0</v>
      </c>
      <c r="I92" s="1">
        <v>6</v>
      </c>
      <c r="J92" s="1">
        <v>1</v>
      </c>
    </row>
    <row r="93" spans="1:10" x14ac:dyDescent="0.25">
      <c r="A93" s="2">
        <v>44464</v>
      </c>
      <c r="B93" s="1" t="s">
        <v>129</v>
      </c>
      <c r="C93" s="1" t="s">
        <v>39</v>
      </c>
      <c r="D93" s="1">
        <v>48359</v>
      </c>
      <c r="E93" s="1">
        <v>328</v>
      </c>
      <c r="F93" s="1">
        <v>5</v>
      </c>
      <c r="G93" s="1">
        <v>1</v>
      </c>
      <c r="H93" s="1">
        <v>0</v>
      </c>
      <c r="I93" s="1">
        <v>5</v>
      </c>
      <c r="J93" s="1">
        <v>1</v>
      </c>
    </row>
    <row r="94" spans="1:10" x14ac:dyDescent="0.25">
      <c r="A94" s="2">
        <v>44319</v>
      </c>
      <c r="B94" s="1" t="s">
        <v>130</v>
      </c>
      <c r="C94" s="1" t="s">
        <v>55</v>
      </c>
      <c r="D94" s="1">
        <v>21001</v>
      </c>
      <c r="E94" s="1">
        <v>1848</v>
      </c>
      <c r="F94" s="1">
        <v>54</v>
      </c>
      <c r="G94" s="1">
        <v>1</v>
      </c>
      <c r="H94" s="1">
        <v>0</v>
      </c>
      <c r="I94" s="1">
        <v>0</v>
      </c>
      <c r="J94" s="1">
        <v>0</v>
      </c>
    </row>
    <row r="95" spans="1:10" x14ac:dyDescent="0.25">
      <c r="A95" s="2">
        <v>44472</v>
      </c>
      <c r="B95" s="1" t="s">
        <v>131</v>
      </c>
      <c r="C95" s="1" t="s">
        <v>132</v>
      </c>
      <c r="D95" s="1">
        <v>9001</v>
      </c>
      <c r="E95" s="1">
        <v>110458</v>
      </c>
      <c r="F95" s="1">
        <v>2285</v>
      </c>
      <c r="G95" s="1">
        <v>0</v>
      </c>
      <c r="H95" s="1">
        <v>0</v>
      </c>
      <c r="I95" s="1">
        <v>6</v>
      </c>
      <c r="J95" s="1">
        <v>1</v>
      </c>
    </row>
    <row r="96" spans="1:10" x14ac:dyDescent="0.25">
      <c r="A96" s="2">
        <v>44477</v>
      </c>
      <c r="B96" s="1" t="s">
        <v>133</v>
      </c>
      <c r="C96" s="1" t="s">
        <v>27</v>
      </c>
      <c r="D96" s="1">
        <v>27107</v>
      </c>
      <c r="E96" s="1">
        <v>797</v>
      </c>
      <c r="F96" s="1">
        <v>9</v>
      </c>
      <c r="G96" s="1">
        <v>12</v>
      </c>
      <c r="H96" s="1">
        <v>0</v>
      </c>
      <c r="I96" s="1">
        <v>4</v>
      </c>
      <c r="J96" s="1">
        <v>0</v>
      </c>
    </row>
    <row r="97" spans="1:10" x14ac:dyDescent="0.25">
      <c r="A97" s="2">
        <v>44540</v>
      </c>
      <c r="B97" s="1" t="s">
        <v>134</v>
      </c>
      <c r="C97" s="1" t="s">
        <v>15</v>
      </c>
      <c r="D97" s="1">
        <v>47133</v>
      </c>
      <c r="E97" s="1">
        <v>4973</v>
      </c>
      <c r="F97" s="1">
        <v>86</v>
      </c>
      <c r="G97" s="1">
        <v>6</v>
      </c>
      <c r="H97" s="1">
        <v>0</v>
      </c>
      <c r="I97" s="1">
        <v>4</v>
      </c>
      <c r="J97" s="1">
        <v>0</v>
      </c>
    </row>
    <row r="98" spans="1:10" x14ac:dyDescent="0.25">
      <c r="A98" s="2">
        <v>44371</v>
      </c>
      <c r="B98" s="1" t="s">
        <v>108</v>
      </c>
      <c r="C98" s="1" t="s">
        <v>42</v>
      </c>
      <c r="D98" s="1">
        <v>41061</v>
      </c>
      <c r="E98" s="1">
        <v>1502</v>
      </c>
      <c r="F98" s="1">
        <v>24</v>
      </c>
      <c r="G98" s="1">
        <v>0</v>
      </c>
      <c r="H98" s="1">
        <v>0</v>
      </c>
      <c r="I98" s="1">
        <v>3</v>
      </c>
      <c r="J98" s="1">
        <v>0</v>
      </c>
    </row>
    <row r="99" spans="1:10" x14ac:dyDescent="0.25">
      <c r="A99" s="2">
        <v>44212</v>
      </c>
      <c r="B99" s="1" t="s">
        <v>135</v>
      </c>
      <c r="C99" s="1" t="s">
        <v>30</v>
      </c>
      <c r="D99" s="1">
        <v>51183</v>
      </c>
      <c r="E99" s="1">
        <v>795</v>
      </c>
      <c r="F99" s="1">
        <v>14</v>
      </c>
      <c r="G99" s="1">
        <v>17</v>
      </c>
      <c r="H99" s="1">
        <v>0</v>
      </c>
      <c r="I99" s="1">
        <v>5</v>
      </c>
      <c r="J99" s="1">
        <v>1</v>
      </c>
    </row>
    <row r="100" spans="1:10" x14ac:dyDescent="0.25">
      <c r="A100" s="2">
        <v>44338</v>
      </c>
      <c r="B100" s="1" t="s">
        <v>136</v>
      </c>
      <c r="C100" s="1" t="s">
        <v>68</v>
      </c>
      <c r="D100" s="1">
        <v>19019</v>
      </c>
      <c r="E100" s="1">
        <v>1916</v>
      </c>
      <c r="F100" s="1">
        <v>33</v>
      </c>
      <c r="G100" s="1">
        <v>1</v>
      </c>
      <c r="H100" s="1">
        <v>0</v>
      </c>
      <c r="I100" s="1">
        <v>5</v>
      </c>
      <c r="J100" s="1">
        <v>1</v>
      </c>
    </row>
    <row r="101" spans="1:10" x14ac:dyDescent="0.25">
      <c r="A101" s="2">
        <v>44290</v>
      </c>
      <c r="B101" s="1" t="s">
        <v>49</v>
      </c>
      <c r="C101" s="1" t="s">
        <v>11</v>
      </c>
      <c r="D101" s="1">
        <v>37105</v>
      </c>
      <c r="E101" s="1">
        <v>5693</v>
      </c>
      <c r="F101" s="1">
        <v>74</v>
      </c>
      <c r="G101" s="1">
        <v>0</v>
      </c>
      <c r="H101" s="1">
        <v>0</v>
      </c>
      <c r="I101" s="1">
        <v>6</v>
      </c>
      <c r="J101" s="1">
        <v>1</v>
      </c>
    </row>
    <row r="102" spans="1:10" x14ac:dyDescent="0.25">
      <c r="A102" s="2">
        <v>44329</v>
      </c>
      <c r="B102" s="1" t="s">
        <v>137</v>
      </c>
      <c r="C102" s="1" t="s">
        <v>138</v>
      </c>
      <c r="D102" s="1">
        <v>6079</v>
      </c>
      <c r="E102" s="1">
        <v>21308</v>
      </c>
      <c r="F102" s="1">
        <v>260</v>
      </c>
      <c r="G102" s="1">
        <v>0</v>
      </c>
      <c r="H102" s="1">
        <v>0</v>
      </c>
      <c r="I102" s="1">
        <v>3</v>
      </c>
      <c r="J102" s="1">
        <v>0</v>
      </c>
    </row>
    <row r="103" spans="1:10" x14ac:dyDescent="0.25">
      <c r="A103" s="2">
        <v>44440</v>
      </c>
      <c r="B103" s="1" t="s">
        <v>139</v>
      </c>
      <c r="C103" s="1" t="s">
        <v>140</v>
      </c>
      <c r="D103" s="1">
        <v>31141</v>
      </c>
      <c r="E103" s="1">
        <v>4150</v>
      </c>
      <c r="F103" s="1">
        <v>50</v>
      </c>
      <c r="G103" s="1">
        <v>0</v>
      </c>
      <c r="H103" s="1">
        <v>0</v>
      </c>
      <c r="I103" s="1">
        <v>2</v>
      </c>
      <c r="J103" s="1">
        <v>0</v>
      </c>
    </row>
    <row r="104" spans="1:10" x14ac:dyDescent="0.25">
      <c r="A104" s="2">
        <v>44373</v>
      </c>
      <c r="B104" s="1" t="s">
        <v>141</v>
      </c>
      <c r="C104" s="1" t="s">
        <v>89</v>
      </c>
      <c r="D104" s="1">
        <v>54051</v>
      </c>
      <c r="E104" s="1">
        <v>3536</v>
      </c>
      <c r="F104" s="1">
        <v>78</v>
      </c>
      <c r="G104" s="1">
        <v>0</v>
      </c>
      <c r="H104" s="1">
        <v>0</v>
      </c>
      <c r="I104" s="1">
        <v>5</v>
      </c>
      <c r="J104" s="1">
        <v>1</v>
      </c>
    </row>
    <row r="105" spans="1:10" x14ac:dyDescent="0.25">
      <c r="A105" s="2">
        <v>44365</v>
      </c>
      <c r="B105" s="1" t="s">
        <v>142</v>
      </c>
      <c r="C105" s="1" t="s">
        <v>70</v>
      </c>
      <c r="D105" s="1">
        <v>12091</v>
      </c>
      <c r="E105" s="1">
        <v>20847</v>
      </c>
      <c r="F105" s="1">
        <v>367</v>
      </c>
      <c r="G105" s="1">
        <v>71</v>
      </c>
      <c r="H105" s="1">
        <v>0</v>
      </c>
      <c r="I105" s="1">
        <v>4</v>
      </c>
      <c r="J105" s="1">
        <v>0</v>
      </c>
    </row>
    <row r="106" spans="1:10" x14ac:dyDescent="0.25">
      <c r="A106" s="2">
        <v>44287</v>
      </c>
      <c r="B106" s="1" t="s">
        <v>143</v>
      </c>
      <c r="C106" s="1" t="s">
        <v>27</v>
      </c>
      <c r="D106" s="1">
        <v>27109</v>
      </c>
      <c r="E106" s="1">
        <v>12369</v>
      </c>
      <c r="F106" s="1">
        <v>94</v>
      </c>
      <c r="G106" s="1">
        <v>25</v>
      </c>
      <c r="H106" s="1">
        <v>0</v>
      </c>
      <c r="I106" s="1">
        <v>3</v>
      </c>
      <c r="J106" s="1">
        <v>0</v>
      </c>
    </row>
    <row r="107" spans="1:10" x14ac:dyDescent="0.25">
      <c r="A107" s="2">
        <v>44432</v>
      </c>
      <c r="B107" s="1" t="s">
        <v>144</v>
      </c>
      <c r="C107" s="1" t="s">
        <v>39</v>
      </c>
      <c r="D107" s="1">
        <v>48425</v>
      </c>
      <c r="E107" s="1">
        <v>1228</v>
      </c>
      <c r="F107" s="1">
        <v>17</v>
      </c>
      <c r="G107" s="1">
        <v>1</v>
      </c>
      <c r="H107" s="1">
        <v>0</v>
      </c>
      <c r="I107" s="1">
        <v>1</v>
      </c>
      <c r="J107" s="1">
        <v>0</v>
      </c>
    </row>
    <row r="108" spans="1:10" x14ac:dyDescent="0.25">
      <c r="A108" s="2">
        <v>44547</v>
      </c>
      <c r="B108" s="1" t="s">
        <v>145</v>
      </c>
      <c r="C108" s="1" t="s">
        <v>39</v>
      </c>
      <c r="D108" s="1">
        <v>48157</v>
      </c>
      <c r="E108" s="1">
        <v>104791</v>
      </c>
      <c r="F108" s="1">
        <v>1047</v>
      </c>
      <c r="G108" s="1">
        <v>247</v>
      </c>
      <c r="H108" s="1">
        <v>0</v>
      </c>
      <c r="I108" s="1">
        <v>4</v>
      </c>
      <c r="J108" s="1">
        <v>0</v>
      </c>
    </row>
    <row r="109" spans="1:10" x14ac:dyDescent="0.25">
      <c r="A109" s="2">
        <v>44385</v>
      </c>
      <c r="B109" s="1" t="s">
        <v>146</v>
      </c>
      <c r="C109" s="1" t="s">
        <v>147</v>
      </c>
      <c r="D109" s="1">
        <v>34033</v>
      </c>
      <c r="E109" s="1">
        <v>6125</v>
      </c>
      <c r="F109" s="1">
        <v>188</v>
      </c>
      <c r="G109" s="1">
        <v>2</v>
      </c>
      <c r="H109" s="1">
        <v>0</v>
      </c>
      <c r="I109" s="1">
        <v>3</v>
      </c>
      <c r="J109" s="1">
        <v>0</v>
      </c>
    </row>
    <row r="110" spans="1:10" x14ac:dyDescent="0.25">
      <c r="A110" s="2">
        <v>44253</v>
      </c>
      <c r="B110" s="1" t="s">
        <v>148</v>
      </c>
      <c r="C110" s="1" t="s">
        <v>11</v>
      </c>
      <c r="D110" s="1">
        <v>37049</v>
      </c>
      <c r="E110" s="1">
        <v>8249</v>
      </c>
      <c r="F110" s="1">
        <v>114</v>
      </c>
      <c r="G110" s="1">
        <v>40</v>
      </c>
      <c r="H110" s="1">
        <v>1</v>
      </c>
      <c r="I110" s="1">
        <v>4</v>
      </c>
      <c r="J110" s="1">
        <v>0</v>
      </c>
    </row>
    <row r="111" spans="1:10" x14ac:dyDescent="0.25">
      <c r="A111" s="2">
        <v>44346</v>
      </c>
      <c r="B111" s="1" t="s">
        <v>149</v>
      </c>
      <c r="C111" s="1" t="s">
        <v>23</v>
      </c>
      <c r="D111" s="1">
        <v>16069</v>
      </c>
      <c r="E111" s="1">
        <v>3678</v>
      </c>
      <c r="F111" s="1">
        <v>55</v>
      </c>
      <c r="G111" s="1">
        <v>0</v>
      </c>
      <c r="H111" s="1">
        <v>0</v>
      </c>
      <c r="I111" s="1">
        <v>6</v>
      </c>
      <c r="J111" s="1">
        <v>1</v>
      </c>
    </row>
    <row r="112" spans="1:10" x14ac:dyDescent="0.25">
      <c r="A112" s="2">
        <v>44473</v>
      </c>
      <c r="B112" s="1" t="s">
        <v>150</v>
      </c>
      <c r="C112" s="1" t="s">
        <v>19</v>
      </c>
      <c r="D112" s="1">
        <v>13173</v>
      </c>
      <c r="E112" s="1">
        <v>1442</v>
      </c>
      <c r="F112" s="1">
        <v>15</v>
      </c>
      <c r="G112" s="1">
        <v>6</v>
      </c>
      <c r="H112" s="1">
        <v>0</v>
      </c>
      <c r="I112" s="1">
        <v>0</v>
      </c>
      <c r="J112" s="1">
        <v>0</v>
      </c>
    </row>
    <row r="113" spans="1:10" x14ac:dyDescent="0.25">
      <c r="A113" s="2">
        <v>44450</v>
      </c>
      <c r="B113" s="1" t="s">
        <v>151</v>
      </c>
      <c r="C113" s="1" t="s">
        <v>68</v>
      </c>
      <c r="D113" s="1">
        <v>19021</v>
      </c>
      <c r="E113" s="1">
        <v>4663</v>
      </c>
      <c r="F113" s="1">
        <v>42</v>
      </c>
      <c r="G113" s="1">
        <v>0</v>
      </c>
      <c r="H113" s="1">
        <v>0</v>
      </c>
      <c r="I113" s="1">
        <v>5</v>
      </c>
      <c r="J113" s="1">
        <v>1</v>
      </c>
    </row>
    <row r="114" spans="1:10" x14ac:dyDescent="0.25">
      <c r="A114" s="2">
        <v>44265</v>
      </c>
      <c r="B114" s="1" t="s">
        <v>152</v>
      </c>
      <c r="C114" s="1" t="s">
        <v>30</v>
      </c>
      <c r="D114" s="1">
        <v>51820</v>
      </c>
      <c r="E114" s="1">
        <v>2171</v>
      </c>
      <c r="F114" s="1">
        <v>34</v>
      </c>
      <c r="G114" s="1">
        <v>3</v>
      </c>
      <c r="H114" s="1">
        <v>0</v>
      </c>
      <c r="I114" s="1">
        <v>2</v>
      </c>
      <c r="J114" s="1">
        <v>0</v>
      </c>
    </row>
    <row r="115" spans="1:10" x14ac:dyDescent="0.25">
      <c r="A115" s="2">
        <v>44416</v>
      </c>
      <c r="B115" s="1" t="s">
        <v>95</v>
      </c>
      <c r="C115" s="1" t="s">
        <v>96</v>
      </c>
      <c r="D115" s="1">
        <v>17161</v>
      </c>
      <c r="E115" s="1">
        <v>15539</v>
      </c>
      <c r="F115" s="1">
        <v>372</v>
      </c>
      <c r="G115" s="1">
        <v>0</v>
      </c>
      <c r="H115" s="1">
        <v>0</v>
      </c>
      <c r="I115" s="1">
        <v>6</v>
      </c>
      <c r="J115" s="1">
        <v>1</v>
      </c>
    </row>
    <row r="116" spans="1:10" x14ac:dyDescent="0.25">
      <c r="A116" s="2">
        <v>44466</v>
      </c>
      <c r="B116" s="1" t="s">
        <v>153</v>
      </c>
      <c r="C116" s="1" t="s">
        <v>68</v>
      </c>
      <c r="D116" s="1">
        <v>19119</v>
      </c>
      <c r="E116" s="1">
        <v>1781</v>
      </c>
      <c r="F116" s="1">
        <v>41</v>
      </c>
      <c r="G116" s="1">
        <v>0</v>
      </c>
      <c r="H116" s="1">
        <v>0</v>
      </c>
      <c r="I116" s="1">
        <v>0</v>
      </c>
      <c r="J116" s="1">
        <v>0</v>
      </c>
    </row>
    <row r="117" spans="1:10" x14ac:dyDescent="0.25">
      <c r="A117" s="2">
        <v>44462</v>
      </c>
      <c r="B117" s="1" t="s">
        <v>154</v>
      </c>
      <c r="C117" s="1" t="s">
        <v>155</v>
      </c>
      <c r="D117" s="1">
        <v>25001</v>
      </c>
      <c r="E117" s="1">
        <v>16564</v>
      </c>
      <c r="F117" s="1">
        <v>500</v>
      </c>
      <c r="G117" s="1">
        <v>41</v>
      </c>
      <c r="H117" s="1">
        <v>1</v>
      </c>
      <c r="I117" s="1">
        <v>3</v>
      </c>
      <c r="J117" s="1">
        <v>0</v>
      </c>
    </row>
    <row r="118" spans="1:10" x14ac:dyDescent="0.25">
      <c r="A118" s="2">
        <v>44402</v>
      </c>
      <c r="B118" s="1" t="s">
        <v>156</v>
      </c>
      <c r="C118" s="1" t="s">
        <v>77</v>
      </c>
      <c r="D118" s="1">
        <v>26099</v>
      </c>
      <c r="E118" s="1">
        <v>101189</v>
      </c>
      <c r="F118" s="1">
        <v>2507</v>
      </c>
      <c r="G118" s="1">
        <v>0</v>
      </c>
      <c r="H118" s="1">
        <v>0</v>
      </c>
      <c r="I118" s="1">
        <v>6</v>
      </c>
      <c r="J118" s="1">
        <v>1</v>
      </c>
    </row>
    <row r="119" spans="1:10" x14ac:dyDescent="0.25">
      <c r="A119" s="2">
        <v>44418</v>
      </c>
      <c r="B119" s="1" t="s">
        <v>157</v>
      </c>
      <c r="C119" s="1" t="s">
        <v>27</v>
      </c>
      <c r="D119" s="1">
        <v>27123</v>
      </c>
      <c r="E119" s="1">
        <v>54083</v>
      </c>
      <c r="F119" s="1">
        <v>915</v>
      </c>
      <c r="G119" s="1">
        <v>153</v>
      </c>
      <c r="H119" s="1">
        <v>2</v>
      </c>
      <c r="I119" s="1">
        <v>1</v>
      </c>
      <c r="J119" s="1">
        <v>0</v>
      </c>
    </row>
    <row r="120" spans="1:10" x14ac:dyDescent="0.25">
      <c r="A120" s="2">
        <v>44426</v>
      </c>
      <c r="B120" s="1" t="s">
        <v>111</v>
      </c>
      <c r="C120" s="1" t="s">
        <v>39</v>
      </c>
      <c r="D120" s="1">
        <v>48041</v>
      </c>
      <c r="E120" s="1">
        <v>29906</v>
      </c>
      <c r="F120" s="1">
        <v>275</v>
      </c>
      <c r="G120" s="1">
        <v>104</v>
      </c>
      <c r="H120" s="1">
        <v>0</v>
      </c>
      <c r="I120" s="1">
        <v>2</v>
      </c>
      <c r="J120" s="1">
        <v>0</v>
      </c>
    </row>
    <row r="121" spans="1:10" x14ac:dyDescent="0.25">
      <c r="A121" s="2">
        <v>44472</v>
      </c>
      <c r="B121" s="1" t="s">
        <v>158</v>
      </c>
      <c r="C121" s="1" t="s">
        <v>103</v>
      </c>
      <c r="D121" s="1">
        <v>36009</v>
      </c>
      <c r="E121" s="1">
        <v>7056</v>
      </c>
      <c r="F121" s="1">
        <v>102</v>
      </c>
      <c r="G121" s="1">
        <v>35</v>
      </c>
      <c r="H121" s="1">
        <v>1</v>
      </c>
      <c r="I121" s="1">
        <v>6</v>
      </c>
      <c r="J121" s="1">
        <v>1</v>
      </c>
    </row>
    <row r="122" spans="1:10" x14ac:dyDescent="0.25">
      <c r="A122" s="2">
        <v>44361</v>
      </c>
      <c r="B122" s="1" t="s">
        <v>159</v>
      </c>
      <c r="C122" s="1" t="s">
        <v>155</v>
      </c>
      <c r="D122" s="1">
        <v>25005</v>
      </c>
      <c r="E122" s="1">
        <v>66821</v>
      </c>
      <c r="F122" s="1">
        <v>1740</v>
      </c>
      <c r="G122" s="1">
        <v>2</v>
      </c>
      <c r="H122" s="1">
        <v>3</v>
      </c>
      <c r="I122" s="1">
        <v>0</v>
      </c>
      <c r="J122" s="1">
        <v>0</v>
      </c>
    </row>
    <row r="123" spans="1:10" x14ac:dyDescent="0.25">
      <c r="A123" s="2">
        <v>44405</v>
      </c>
      <c r="B123" s="1" t="s">
        <v>160</v>
      </c>
      <c r="C123" s="1" t="s">
        <v>161</v>
      </c>
      <c r="D123" s="1">
        <v>32033</v>
      </c>
      <c r="E123" s="1">
        <v>661</v>
      </c>
      <c r="F123" s="1">
        <v>8</v>
      </c>
      <c r="G123" s="1">
        <v>0</v>
      </c>
      <c r="H123" s="1">
        <v>2</v>
      </c>
      <c r="I123" s="1">
        <v>2</v>
      </c>
      <c r="J123" s="1">
        <v>0</v>
      </c>
    </row>
    <row r="124" spans="1:10" x14ac:dyDescent="0.25">
      <c r="A124" s="2">
        <v>44237</v>
      </c>
      <c r="B124" s="1" t="s">
        <v>75</v>
      </c>
      <c r="C124" s="1" t="s">
        <v>107</v>
      </c>
      <c r="D124" s="1">
        <v>39049</v>
      </c>
      <c r="E124" s="1">
        <v>107954</v>
      </c>
      <c r="F124" s="1">
        <v>714</v>
      </c>
      <c r="G124" s="1">
        <v>327</v>
      </c>
      <c r="H124" s="1">
        <v>0</v>
      </c>
      <c r="I124" s="1">
        <v>2</v>
      </c>
      <c r="J124" s="1">
        <v>0</v>
      </c>
    </row>
    <row r="125" spans="1:10" x14ac:dyDescent="0.25">
      <c r="A125" s="2">
        <v>44512</v>
      </c>
      <c r="B125" s="1" t="s">
        <v>125</v>
      </c>
      <c r="C125" s="1" t="s">
        <v>43</v>
      </c>
      <c r="D125" s="1">
        <v>29061</v>
      </c>
      <c r="E125" s="1">
        <v>1059</v>
      </c>
      <c r="F125" s="1">
        <v>14</v>
      </c>
      <c r="G125" s="1">
        <v>4</v>
      </c>
      <c r="H125" s="1">
        <v>0</v>
      </c>
      <c r="I125" s="1">
        <v>4</v>
      </c>
      <c r="J125" s="1">
        <v>0</v>
      </c>
    </row>
    <row r="126" spans="1:10" x14ac:dyDescent="0.25">
      <c r="A126" s="2">
        <v>44513</v>
      </c>
      <c r="B126" s="1" t="s">
        <v>75</v>
      </c>
      <c r="C126" s="1" t="s">
        <v>162</v>
      </c>
      <c r="D126" s="1">
        <v>22041</v>
      </c>
      <c r="E126" s="1">
        <v>4717</v>
      </c>
      <c r="F126" s="1">
        <v>139</v>
      </c>
      <c r="G126" s="1">
        <v>0</v>
      </c>
      <c r="H126" s="1">
        <v>0</v>
      </c>
      <c r="I126" s="1">
        <v>5</v>
      </c>
      <c r="J126" s="1">
        <v>1</v>
      </c>
    </row>
    <row r="127" spans="1:10" x14ac:dyDescent="0.25">
      <c r="A127" s="2">
        <v>44371</v>
      </c>
      <c r="B127" s="1" t="s">
        <v>163</v>
      </c>
      <c r="C127" s="1" t="s">
        <v>96</v>
      </c>
      <c r="D127" s="1">
        <v>17099</v>
      </c>
      <c r="E127" s="1">
        <v>12791</v>
      </c>
      <c r="F127" s="1">
        <v>305</v>
      </c>
      <c r="G127" s="1">
        <v>0</v>
      </c>
      <c r="H127" s="1">
        <v>0</v>
      </c>
      <c r="I127" s="1">
        <v>3</v>
      </c>
      <c r="J127" s="1">
        <v>0</v>
      </c>
    </row>
    <row r="128" spans="1:10" x14ac:dyDescent="0.25">
      <c r="A128" s="2">
        <v>44473</v>
      </c>
      <c r="B128" s="1" t="s">
        <v>164</v>
      </c>
      <c r="C128" s="1" t="s">
        <v>99</v>
      </c>
      <c r="D128" s="1">
        <v>50001</v>
      </c>
      <c r="E128" s="1">
        <v>1378</v>
      </c>
      <c r="F128" s="1">
        <v>8</v>
      </c>
      <c r="G128" s="1">
        <v>4</v>
      </c>
      <c r="H128" s="1">
        <v>0</v>
      </c>
      <c r="I128" s="1">
        <v>0</v>
      </c>
      <c r="J128" s="1">
        <v>0</v>
      </c>
    </row>
    <row r="129" spans="1:10" x14ac:dyDescent="0.25">
      <c r="A129" s="2">
        <v>44254</v>
      </c>
      <c r="B129" s="1" t="s">
        <v>165</v>
      </c>
      <c r="C129" s="1" t="s">
        <v>117</v>
      </c>
      <c r="D129" s="1">
        <v>42005</v>
      </c>
      <c r="E129" s="1">
        <v>4902</v>
      </c>
      <c r="F129" s="1">
        <v>116</v>
      </c>
      <c r="G129" s="1">
        <v>11</v>
      </c>
      <c r="H129" s="1">
        <v>0</v>
      </c>
      <c r="I129" s="1">
        <v>5</v>
      </c>
      <c r="J129" s="1">
        <v>1</v>
      </c>
    </row>
    <row r="130" spans="1:10" x14ac:dyDescent="0.25">
      <c r="A130" s="2">
        <v>44424</v>
      </c>
      <c r="B130" s="1" t="s">
        <v>113</v>
      </c>
      <c r="C130" s="1" t="s">
        <v>21</v>
      </c>
      <c r="D130" s="1">
        <v>53031</v>
      </c>
      <c r="E130" s="1">
        <v>579</v>
      </c>
      <c r="F130" s="1">
        <v>4</v>
      </c>
      <c r="G130" s="1">
        <v>16</v>
      </c>
      <c r="H130" s="1">
        <v>0</v>
      </c>
      <c r="I130" s="1">
        <v>0</v>
      </c>
      <c r="J130" s="1">
        <v>0</v>
      </c>
    </row>
    <row r="131" spans="1:10" x14ac:dyDescent="0.25">
      <c r="A131" s="2">
        <v>44422</v>
      </c>
      <c r="B131" s="1" t="s">
        <v>166</v>
      </c>
      <c r="C131" s="1" t="s">
        <v>103</v>
      </c>
      <c r="D131" s="1">
        <v>36077</v>
      </c>
      <c r="E131" s="1">
        <v>3617</v>
      </c>
      <c r="F131" s="1">
        <v>47</v>
      </c>
      <c r="G131" s="1">
        <v>12</v>
      </c>
      <c r="H131" s="1">
        <v>0</v>
      </c>
      <c r="I131" s="1">
        <v>5</v>
      </c>
      <c r="J131" s="1">
        <v>1</v>
      </c>
    </row>
    <row r="132" spans="1:10" x14ac:dyDescent="0.25">
      <c r="A132" s="2">
        <v>44292</v>
      </c>
      <c r="B132" s="1" t="s">
        <v>167</v>
      </c>
      <c r="C132" s="1" t="s">
        <v>140</v>
      </c>
      <c r="D132" s="1">
        <v>31039</v>
      </c>
      <c r="E132" s="1">
        <v>1027</v>
      </c>
      <c r="F132" s="1">
        <v>11</v>
      </c>
      <c r="G132" s="1">
        <v>1</v>
      </c>
      <c r="H132" s="1">
        <v>0</v>
      </c>
      <c r="I132" s="1">
        <v>1</v>
      </c>
      <c r="J132" s="1">
        <v>0</v>
      </c>
    </row>
    <row r="133" spans="1:10" x14ac:dyDescent="0.25">
      <c r="A133" s="2">
        <v>44369</v>
      </c>
      <c r="B133" s="1" t="s">
        <v>44</v>
      </c>
      <c r="C133" s="1" t="s">
        <v>107</v>
      </c>
      <c r="D133" s="1">
        <v>39113</v>
      </c>
      <c r="E133" s="1">
        <v>52574</v>
      </c>
      <c r="F133" s="1">
        <v>1049</v>
      </c>
      <c r="G133" s="1">
        <v>14</v>
      </c>
      <c r="H133" s="1">
        <v>6</v>
      </c>
      <c r="I133" s="1">
        <v>1</v>
      </c>
      <c r="J133" s="1">
        <v>0</v>
      </c>
    </row>
    <row r="134" spans="1:10" x14ac:dyDescent="0.25">
      <c r="A134" s="2">
        <v>44328</v>
      </c>
      <c r="B134" s="1" t="s">
        <v>168</v>
      </c>
      <c r="C134" s="1" t="s">
        <v>11</v>
      </c>
      <c r="D134" s="1">
        <v>37077</v>
      </c>
      <c r="E134" s="1">
        <v>5942</v>
      </c>
      <c r="F134" s="1">
        <v>82</v>
      </c>
      <c r="G134" s="1">
        <v>5</v>
      </c>
      <c r="H134" s="1">
        <v>0</v>
      </c>
      <c r="I134" s="1">
        <v>2</v>
      </c>
      <c r="J134" s="1">
        <v>0</v>
      </c>
    </row>
    <row r="135" spans="1:10" x14ac:dyDescent="0.25">
      <c r="A135" s="2">
        <v>44303</v>
      </c>
      <c r="B135" s="1" t="s">
        <v>159</v>
      </c>
      <c r="C135" s="1" t="s">
        <v>169</v>
      </c>
      <c r="D135" s="1">
        <v>44001</v>
      </c>
      <c r="E135" s="1">
        <v>4817</v>
      </c>
      <c r="F135" s="1">
        <v>141</v>
      </c>
      <c r="G135" s="1">
        <v>0</v>
      </c>
      <c r="H135" s="1">
        <v>0</v>
      </c>
      <c r="I135" s="1">
        <v>5</v>
      </c>
      <c r="J135" s="1">
        <v>1</v>
      </c>
    </row>
    <row r="136" spans="1:10" x14ac:dyDescent="0.25">
      <c r="A136" s="2">
        <v>44501</v>
      </c>
      <c r="B136" s="1" t="s">
        <v>170</v>
      </c>
      <c r="C136" s="1" t="s">
        <v>70</v>
      </c>
      <c r="D136" s="1">
        <v>12011</v>
      </c>
      <c r="E136" s="1">
        <v>356758</v>
      </c>
      <c r="F136" s="1">
        <v>4806</v>
      </c>
      <c r="G136" s="1">
        <v>0</v>
      </c>
      <c r="H136" s="1">
        <v>0</v>
      </c>
      <c r="I136" s="1">
        <v>0</v>
      </c>
      <c r="J136" s="1">
        <v>0</v>
      </c>
    </row>
    <row r="137" spans="1:10" x14ac:dyDescent="0.25">
      <c r="A137" s="2">
        <v>44287</v>
      </c>
      <c r="B137" s="1" t="s">
        <v>171</v>
      </c>
      <c r="C137" s="1" t="s">
        <v>15</v>
      </c>
      <c r="D137" s="1">
        <v>47129</v>
      </c>
      <c r="E137" s="1">
        <v>2399</v>
      </c>
      <c r="F137" s="1">
        <v>39</v>
      </c>
      <c r="G137" s="1">
        <v>6</v>
      </c>
      <c r="H137" s="1">
        <v>0</v>
      </c>
      <c r="I137" s="1">
        <v>3</v>
      </c>
      <c r="J137" s="1">
        <v>0</v>
      </c>
    </row>
    <row r="138" spans="1:10" x14ac:dyDescent="0.25">
      <c r="A138" s="2">
        <v>44433</v>
      </c>
      <c r="B138" s="1" t="s">
        <v>172</v>
      </c>
      <c r="C138" s="1" t="s">
        <v>39</v>
      </c>
      <c r="D138" s="1">
        <v>48419</v>
      </c>
      <c r="E138" s="1">
        <v>2340</v>
      </c>
      <c r="F138" s="1">
        <v>75</v>
      </c>
      <c r="G138" s="1">
        <v>17</v>
      </c>
      <c r="H138" s="1">
        <v>0</v>
      </c>
      <c r="I138" s="1">
        <v>2</v>
      </c>
      <c r="J138" s="1">
        <v>0</v>
      </c>
    </row>
    <row r="139" spans="1:10" x14ac:dyDescent="0.25">
      <c r="A139" s="2">
        <v>44459</v>
      </c>
      <c r="B139" s="1" t="s">
        <v>173</v>
      </c>
      <c r="C139" s="1" t="s">
        <v>68</v>
      </c>
      <c r="D139" s="1">
        <v>19051</v>
      </c>
      <c r="E139" s="1">
        <v>1031</v>
      </c>
      <c r="F139" s="1">
        <v>25</v>
      </c>
      <c r="G139" s="1">
        <v>0</v>
      </c>
      <c r="H139" s="1">
        <v>0</v>
      </c>
      <c r="I139" s="1">
        <v>0</v>
      </c>
      <c r="J139" s="1">
        <v>0</v>
      </c>
    </row>
    <row r="140" spans="1:10" x14ac:dyDescent="0.25">
      <c r="A140" s="2">
        <v>44245</v>
      </c>
      <c r="B140" s="1" t="s">
        <v>174</v>
      </c>
      <c r="C140" s="1" t="s">
        <v>19</v>
      </c>
      <c r="D140" s="1">
        <v>13179</v>
      </c>
      <c r="E140" s="1">
        <v>3023</v>
      </c>
      <c r="F140" s="1">
        <v>47</v>
      </c>
      <c r="G140" s="1">
        <v>25</v>
      </c>
      <c r="H140" s="1">
        <v>0</v>
      </c>
      <c r="I140" s="1">
        <v>3</v>
      </c>
      <c r="J140" s="1">
        <v>0</v>
      </c>
    </row>
    <row r="141" spans="1:10" x14ac:dyDescent="0.25">
      <c r="A141" s="2">
        <v>44428</v>
      </c>
      <c r="B141" s="1" t="s">
        <v>175</v>
      </c>
      <c r="C141" s="1" t="s">
        <v>77</v>
      </c>
      <c r="D141" s="1">
        <v>26139</v>
      </c>
      <c r="E141" s="1">
        <v>34113</v>
      </c>
      <c r="F141" s="1">
        <v>448</v>
      </c>
      <c r="G141" s="1">
        <v>179</v>
      </c>
      <c r="H141" s="1">
        <v>1</v>
      </c>
      <c r="I141" s="1">
        <v>4</v>
      </c>
      <c r="J141" s="1">
        <v>0</v>
      </c>
    </row>
    <row r="142" spans="1:10" x14ac:dyDescent="0.25">
      <c r="A142" s="2">
        <v>44561</v>
      </c>
      <c r="B142" s="1" t="s">
        <v>176</v>
      </c>
      <c r="C142" s="1" t="s">
        <v>138</v>
      </c>
      <c r="D142" s="1">
        <v>6071</v>
      </c>
      <c r="E142" s="1">
        <v>399021</v>
      </c>
      <c r="F142" s="1">
        <v>6051</v>
      </c>
      <c r="G142" s="1">
        <v>3406</v>
      </c>
      <c r="H142" s="1">
        <v>2</v>
      </c>
      <c r="I142" s="1">
        <v>4</v>
      </c>
      <c r="J142" s="1">
        <v>0</v>
      </c>
    </row>
    <row r="143" spans="1:10" x14ac:dyDescent="0.25">
      <c r="A143" s="2">
        <v>44540</v>
      </c>
      <c r="B143" s="1" t="s">
        <v>107</v>
      </c>
      <c r="C143" s="1" t="s">
        <v>89</v>
      </c>
      <c r="D143" s="1">
        <v>54069</v>
      </c>
      <c r="E143" s="1">
        <v>6943</v>
      </c>
      <c r="F143" s="1">
        <v>123</v>
      </c>
      <c r="G143" s="1">
        <v>30</v>
      </c>
      <c r="H143" s="1">
        <v>3</v>
      </c>
      <c r="I143" s="1">
        <v>4</v>
      </c>
      <c r="J143" s="1">
        <v>0</v>
      </c>
    </row>
    <row r="144" spans="1:10" x14ac:dyDescent="0.25">
      <c r="A144" s="2">
        <v>44555</v>
      </c>
      <c r="B144" s="1" t="s">
        <v>177</v>
      </c>
      <c r="C144" s="1" t="s">
        <v>132</v>
      </c>
      <c r="D144" s="1">
        <v>9013</v>
      </c>
      <c r="E144" s="1">
        <v>13790</v>
      </c>
      <c r="F144" s="1">
        <v>208</v>
      </c>
      <c r="G144" s="1">
        <v>0</v>
      </c>
      <c r="H144" s="1">
        <v>0</v>
      </c>
      <c r="I144" s="1">
        <v>5</v>
      </c>
      <c r="J144" s="1">
        <v>1</v>
      </c>
    </row>
    <row r="145" spans="1:10" x14ac:dyDescent="0.25">
      <c r="A145" s="2">
        <v>44531</v>
      </c>
      <c r="B145" s="1" t="s">
        <v>113</v>
      </c>
      <c r="C145" s="1" t="s">
        <v>19</v>
      </c>
      <c r="D145" s="1">
        <v>13163</v>
      </c>
      <c r="E145" s="1">
        <v>2725</v>
      </c>
      <c r="F145" s="1">
        <v>89</v>
      </c>
      <c r="G145" s="1">
        <v>3</v>
      </c>
      <c r="H145" s="1">
        <v>0</v>
      </c>
      <c r="I145" s="1">
        <v>2</v>
      </c>
      <c r="J145" s="1">
        <v>0</v>
      </c>
    </row>
    <row r="146" spans="1:10" x14ac:dyDescent="0.25">
      <c r="A146" s="2">
        <v>44289</v>
      </c>
      <c r="B146" s="1" t="s">
        <v>178</v>
      </c>
      <c r="C146" s="1" t="s">
        <v>19</v>
      </c>
      <c r="D146" s="1">
        <v>13255</v>
      </c>
      <c r="E146" s="1">
        <v>5967</v>
      </c>
      <c r="F146" s="1">
        <v>182</v>
      </c>
      <c r="G146" s="1">
        <v>8</v>
      </c>
      <c r="H146" s="1">
        <v>0</v>
      </c>
      <c r="I146" s="1">
        <v>5</v>
      </c>
      <c r="J146" s="1">
        <v>1</v>
      </c>
    </row>
    <row r="147" spans="1:10" x14ac:dyDescent="0.25">
      <c r="A147" s="2">
        <v>44472</v>
      </c>
      <c r="B147" s="1" t="s">
        <v>179</v>
      </c>
      <c r="C147" s="1" t="s">
        <v>103</v>
      </c>
      <c r="D147" s="1">
        <v>36021</v>
      </c>
      <c r="E147" s="1">
        <v>4822</v>
      </c>
      <c r="F147" s="1">
        <v>110</v>
      </c>
      <c r="G147" s="1">
        <v>17</v>
      </c>
      <c r="H147" s="1">
        <v>0</v>
      </c>
      <c r="I147" s="1">
        <v>6</v>
      </c>
      <c r="J147" s="1">
        <v>1</v>
      </c>
    </row>
    <row r="148" spans="1:10" x14ac:dyDescent="0.25">
      <c r="A148" s="2">
        <v>44533</v>
      </c>
      <c r="B148" s="1" t="s">
        <v>180</v>
      </c>
      <c r="C148" s="1" t="s">
        <v>13</v>
      </c>
      <c r="D148" s="1">
        <v>28043</v>
      </c>
      <c r="E148" s="1">
        <v>3789</v>
      </c>
      <c r="F148" s="1">
        <v>109</v>
      </c>
      <c r="G148" s="1">
        <v>3</v>
      </c>
      <c r="H148" s="1">
        <v>0</v>
      </c>
      <c r="I148" s="1">
        <v>4</v>
      </c>
      <c r="J148" s="1">
        <v>0</v>
      </c>
    </row>
    <row r="149" spans="1:10" x14ac:dyDescent="0.25">
      <c r="A149" s="2">
        <v>44455</v>
      </c>
      <c r="B149" s="1" t="s">
        <v>181</v>
      </c>
      <c r="C149" s="1" t="s">
        <v>55</v>
      </c>
      <c r="D149" s="1">
        <v>21009</v>
      </c>
      <c r="E149" s="1">
        <v>6856</v>
      </c>
      <c r="F149" s="1">
        <v>116</v>
      </c>
      <c r="G149" s="1">
        <v>86</v>
      </c>
      <c r="H149" s="1">
        <v>4</v>
      </c>
      <c r="I149" s="1">
        <v>3</v>
      </c>
      <c r="J149" s="1">
        <v>0</v>
      </c>
    </row>
    <row r="150" spans="1:10" x14ac:dyDescent="0.25">
      <c r="A150" s="2">
        <v>44401</v>
      </c>
      <c r="B150" s="1" t="s">
        <v>182</v>
      </c>
      <c r="C150" s="1" t="s">
        <v>39</v>
      </c>
      <c r="D150" s="1">
        <v>48281</v>
      </c>
      <c r="E150" s="1">
        <v>2317</v>
      </c>
      <c r="F150" s="1">
        <v>33</v>
      </c>
      <c r="G150" s="1">
        <v>9</v>
      </c>
      <c r="H150" s="1">
        <v>0</v>
      </c>
      <c r="I150" s="1">
        <v>5</v>
      </c>
      <c r="J150" s="1">
        <v>1</v>
      </c>
    </row>
    <row r="151" spans="1:10" x14ac:dyDescent="0.25">
      <c r="A151" s="2">
        <v>44544</v>
      </c>
      <c r="B151" s="1" t="s">
        <v>183</v>
      </c>
      <c r="C151" s="1" t="s">
        <v>107</v>
      </c>
      <c r="D151" s="1">
        <v>39055</v>
      </c>
      <c r="E151" s="1">
        <v>11533</v>
      </c>
      <c r="F151" s="1">
        <v>187</v>
      </c>
      <c r="G151" s="1">
        <v>50</v>
      </c>
      <c r="H151" s="1">
        <v>6</v>
      </c>
      <c r="I151" s="1">
        <v>1</v>
      </c>
      <c r="J15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BaseDatosCOVID.xlsx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Isabel Sofía</cp:lastModifiedBy>
  <dcterms:created xsi:type="dcterms:W3CDTF">2026-02-15T23:57:10Z</dcterms:created>
  <dcterms:modified xsi:type="dcterms:W3CDTF">2026-02-15T23:59:28Z</dcterms:modified>
</cp:coreProperties>
</file>